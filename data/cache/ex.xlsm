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-15" windowWidth="19320" windowHeight="5535" tabRatio="611" activeTab="3"/>
  </bookViews>
  <sheets>
    <sheet name="未出货订单类别统计表" sheetId="13" r:id="rId1"/>
    <sheet name="业务员统计" sheetId="14" r:id="rId2"/>
    <sheet name="各工厂现有订单统计" sheetId="15" r:id="rId3"/>
    <sheet name="2016工厂现有订单明细 " sheetId="16" r:id="rId4"/>
  </sheets>
  <calcPr calcId="125725"/>
</workbook>
</file>

<file path=xl/calcChain.xml><?xml version="1.0" encoding="utf-8"?>
<calcChain xmlns="http://schemas.openxmlformats.org/spreadsheetml/2006/main">
  <c r="I681" i="16"/>
  <c r="I680"/>
  <c r="I679"/>
  <c r="I678"/>
  <c r="I677"/>
  <c r="I676"/>
  <c r="I675"/>
  <c r="I674"/>
  <c r="I673"/>
  <c r="I672"/>
  <c r="I671"/>
  <c r="I670"/>
  <c r="I669"/>
  <c r="I668"/>
  <c r="I667"/>
  <c r="I666"/>
  <c r="I665"/>
  <c r="I664"/>
  <c r="I663"/>
  <c r="I662"/>
  <c r="I661"/>
  <c r="I660"/>
  <c r="I659"/>
  <c r="I658"/>
  <c r="I657"/>
  <c r="I656"/>
  <c r="I655"/>
  <c r="I654"/>
  <c r="I653"/>
  <c r="I652"/>
  <c r="I651"/>
  <c r="I650"/>
  <c r="I649"/>
  <c r="I648"/>
  <c r="I647"/>
  <c r="I646"/>
  <c r="I645"/>
  <c r="I644"/>
  <c r="I643"/>
  <c r="I642"/>
  <c r="I641"/>
  <c r="I640"/>
  <c r="I639"/>
  <c r="I638"/>
  <c r="I637"/>
  <c r="I636"/>
  <c r="I635"/>
  <c r="I634"/>
  <c r="I633"/>
  <c r="I632"/>
  <c r="I631"/>
  <c r="I630"/>
  <c r="I629"/>
  <c r="I628"/>
  <c r="I627"/>
  <c r="I626"/>
  <c r="I625"/>
  <c r="I624"/>
  <c r="I623"/>
  <c r="I622"/>
  <c r="I621"/>
  <c r="I620"/>
  <c r="I619"/>
  <c r="I618"/>
  <c r="I617"/>
  <c r="I616"/>
  <c r="I615"/>
  <c r="I614"/>
  <c r="I613"/>
  <c r="I612"/>
  <c r="I611"/>
  <c r="I610"/>
  <c r="I609"/>
  <c r="I608"/>
  <c r="I607"/>
  <c r="I606"/>
  <c r="I605"/>
  <c r="I604"/>
  <c r="I603"/>
  <c r="I602"/>
  <c r="I601"/>
  <c r="I600"/>
  <c r="I599"/>
  <c r="I598"/>
  <c r="I597"/>
  <c r="I596"/>
  <c r="I595"/>
  <c r="I594"/>
  <c r="I593"/>
  <c r="I592"/>
  <c r="I591"/>
  <c r="I590"/>
  <c r="I589"/>
  <c r="I588"/>
  <c r="I587"/>
  <c r="I586"/>
  <c r="I585"/>
  <c r="I584"/>
  <c r="I583"/>
  <c r="I582"/>
  <c r="I581"/>
  <c r="I580"/>
  <c r="I579"/>
  <c r="I578"/>
  <c r="I577"/>
  <c r="I576"/>
  <c r="I575"/>
  <c r="I574"/>
  <c r="I573"/>
  <c r="I572"/>
  <c r="I571"/>
  <c r="I570"/>
  <c r="I569"/>
  <c r="I568"/>
  <c r="I567"/>
  <c r="I566"/>
  <c r="I565"/>
  <c r="I564"/>
  <c r="I563"/>
  <c r="I562"/>
  <c r="I561"/>
  <c r="I560"/>
  <c r="I559"/>
  <c r="I558"/>
  <c r="I557"/>
  <c r="I556"/>
  <c r="I555"/>
  <c r="I554"/>
  <c r="I553"/>
  <c r="I552"/>
  <c r="I551"/>
  <c r="I550"/>
  <c r="I549"/>
  <c r="I548"/>
  <c r="I547"/>
  <c r="I546"/>
  <c r="I545"/>
  <c r="I544"/>
  <c r="I543"/>
  <c r="I542"/>
  <c r="I541"/>
  <c r="I540"/>
  <c r="I539"/>
  <c r="I538"/>
  <c r="I537"/>
  <c r="I536"/>
  <c r="I535"/>
  <c r="I534"/>
  <c r="I533"/>
  <c r="I532"/>
  <c r="I531"/>
  <c r="I530"/>
  <c r="I529"/>
  <c r="I528"/>
  <c r="I527"/>
  <c r="I526"/>
  <c r="I525"/>
  <c r="I524"/>
  <c r="I523"/>
  <c r="I522"/>
  <c r="I521"/>
  <c r="I520"/>
  <c r="I519"/>
  <c r="I518"/>
  <c r="I517"/>
  <c r="I516"/>
  <c r="I515"/>
  <c r="I514"/>
  <c r="I513"/>
  <c r="I512"/>
  <c r="I511"/>
  <c r="I51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69"/>
  <c r="I468"/>
  <c r="I467"/>
  <c r="I466"/>
  <c r="I465"/>
  <c r="I464"/>
  <c r="I463"/>
  <c r="I462"/>
  <c r="I461"/>
  <c r="I460"/>
  <c r="I459"/>
  <c r="I458"/>
  <c r="I457"/>
  <c r="I456"/>
  <c r="I455"/>
  <c r="I454"/>
  <c r="I453"/>
  <c r="I452"/>
  <c r="I451"/>
  <c r="I450"/>
  <c r="I449"/>
  <c r="I448"/>
  <c r="I447"/>
  <c r="I446"/>
  <c r="I445"/>
  <c r="I444"/>
  <c r="I443"/>
  <c r="I442"/>
  <c r="I441"/>
  <c r="I440"/>
  <c r="I439"/>
  <c r="I438"/>
  <c r="I437"/>
  <c r="I436"/>
  <c r="I435"/>
  <c r="I434"/>
  <c r="I433"/>
  <c r="I432"/>
  <c r="I431"/>
  <c r="I430"/>
  <c r="I429"/>
  <c r="I428"/>
  <c r="I427"/>
  <c r="I426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403"/>
  <c r="I402"/>
  <c r="I401"/>
  <c r="I400"/>
  <c r="I399"/>
  <c r="I398"/>
  <c r="I397"/>
  <c r="I396"/>
  <c r="I395"/>
  <c r="I394"/>
  <c r="I393"/>
  <c r="I392"/>
  <c r="I391"/>
  <c r="I390"/>
  <c r="I389"/>
  <c r="I388"/>
  <c r="I387"/>
  <c r="I386"/>
  <c r="I385"/>
  <c r="I384"/>
  <c r="I383"/>
  <c r="I382"/>
  <c r="I381"/>
  <c r="I380"/>
  <c r="I379"/>
  <c r="I378"/>
  <c r="I377"/>
  <c r="I376"/>
  <c r="I375"/>
  <c r="I374"/>
  <c r="I373"/>
  <c r="I372"/>
  <c r="I371"/>
  <c r="I370"/>
  <c r="I369"/>
  <c r="I368"/>
  <c r="I367"/>
  <c r="I366"/>
  <c r="I365"/>
  <c r="I364"/>
  <c r="I363"/>
  <c r="I362"/>
  <c r="I361"/>
  <c r="I360"/>
  <c r="I359"/>
  <c r="I358"/>
  <c r="I357"/>
  <c r="I356"/>
  <c r="I355"/>
  <c r="I354"/>
  <c r="I353"/>
  <c r="I352"/>
  <c r="I351"/>
  <c r="I350"/>
  <c r="I349"/>
  <c r="I348"/>
  <c r="I347"/>
  <c r="I346"/>
  <c r="I345"/>
  <c r="I344"/>
  <c r="I343"/>
  <c r="I342"/>
  <c r="I341"/>
  <c r="I340"/>
  <c r="I339"/>
  <c r="I338"/>
  <c r="I337"/>
  <c r="I336"/>
  <c r="I335"/>
  <c r="I334"/>
  <c r="I333"/>
  <c r="I332"/>
  <c r="I331"/>
  <c r="I330"/>
  <c r="I329"/>
  <c r="I328"/>
  <c r="I327"/>
  <c r="I326"/>
  <c r="I325"/>
  <c r="I324"/>
  <c r="I323"/>
  <c r="I322"/>
  <c r="I321"/>
  <c r="I320"/>
  <c r="I319"/>
  <c r="I318"/>
  <c r="I317"/>
  <c r="I316"/>
  <c r="I315"/>
  <c r="I314"/>
  <c r="I313"/>
  <c r="I312"/>
  <c r="I311"/>
  <c r="I310"/>
  <c r="I309"/>
  <c r="I308"/>
  <c r="I307"/>
  <c r="I306"/>
  <c r="I305"/>
  <c r="I304"/>
  <c r="I303"/>
  <c r="I302"/>
  <c r="I301"/>
  <c r="I300"/>
  <c r="I299"/>
  <c r="I298"/>
  <c r="I297"/>
  <c r="I296"/>
  <c r="I295"/>
  <c r="I294"/>
  <c r="I293"/>
  <c r="I292"/>
  <c r="I291"/>
  <c r="I290"/>
  <c r="I289"/>
  <c r="I288"/>
  <c r="I287"/>
  <c r="I286"/>
  <c r="I285"/>
  <c r="I284"/>
  <c r="I283"/>
  <c r="I282"/>
  <c r="I281"/>
  <c r="I280"/>
  <c r="I279"/>
  <c r="I278"/>
  <c r="I277"/>
  <c r="I276"/>
  <c r="I275"/>
  <c r="I274"/>
  <c r="I273"/>
  <c r="I272"/>
  <c r="I271"/>
  <c r="I270"/>
  <c r="I269"/>
  <c r="I268"/>
  <c r="I267"/>
  <c r="I266"/>
  <c r="I265"/>
  <c r="I264"/>
  <c r="I263"/>
  <c r="I262"/>
  <c r="I261"/>
  <c r="I260"/>
  <c r="I259"/>
  <c r="I258"/>
  <c r="I257"/>
  <c r="I256"/>
  <c r="I255"/>
  <c r="I254"/>
  <c r="I253"/>
  <c r="I252"/>
  <c r="I251"/>
  <c r="I250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142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C37" i="15"/>
  <c r="F5" i="13"/>
  <c r="C18" l="1"/>
  <c r="F16" l="1"/>
  <c r="F17"/>
  <c r="G18" l="1"/>
  <c r="F13" l="1"/>
  <c r="F10"/>
  <c r="F9"/>
  <c r="D18"/>
  <c r="F12"/>
  <c r="F11"/>
  <c r="F8"/>
  <c r="F7"/>
  <c r="F6"/>
  <c r="F18" l="1"/>
</calcChain>
</file>

<file path=xl/sharedStrings.xml><?xml version="1.0" encoding="utf-8"?>
<sst xmlns="http://schemas.openxmlformats.org/spreadsheetml/2006/main" count="4661" uniqueCount="1139">
  <si>
    <t>SELF</t>
    <phoneticPr fontId="37" type="noConversion"/>
  </si>
  <si>
    <t>在手量</t>
    <phoneticPr fontId="37" type="noConversion"/>
  </si>
  <si>
    <t>NO.</t>
    <phoneticPr fontId="37" type="noConversion"/>
  </si>
  <si>
    <t>总数量</t>
    <phoneticPr fontId="37" type="noConversion"/>
  </si>
  <si>
    <t>梭织件数</t>
    <phoneticPr fontId="37" type="noConversion"/>
  </si>
  <si>
    <t>针织件数</t>
    <phoneticPr fontId="37" type="noConversion"/>
  </si>
  <si>
    <t>STONY</t>
    <phoneticPr fontId="37" type="noConversion"/>
  </si>
  <si>
    <t>总金额</t>
    <phoneticPr fontId="37" type="noConversion"/>
  </si>
  <si>
    <t>TD</t>
    <phoneticPr fontId="37" type="noConversion"/>
  </si>
  <si>
    <t>DK</t>
    <phoneticPr fontId="37" type="noConversion"/>
  </si>
  <si>
    <t>H&amp;S</t>
    <phoneticPr fontId="37" type="noConversion"/>
  </si>
  <si>
    <t>GS</t>
    <phoneticPr fontId="37" type="noConversion"/>
  </si>
  <si>
    <t>ALMOST</t>
    <phoneticPr fontId="37" type="noConversion"/>
  </si>
  <si>
    <t>Grand Total</t>
    <phoneticPr fontId="37" type="noConversion"/>
  </si>
  <si>
    <t>SWAT</t>
    <phoneticPr fontId="37" type="noConversion"/>
  </si>
  <si>
    <t>JPR</t>
    <phoneticPr fontId="37" type="noConversion"/>
  </si>
  <si>
    <t>LF Sourcing</t>
    <phoneticPr fontId="37" type="noConversion"/>
  </si>
  <si>
    <t>KELLWOOD</t>
    <phoneticPr fontId="37" type="noConversion"/>
  </si>
  <si>
    <t>Crew Knitwear</t>
    <phoneticPr fontId="37" type="noConversion"/>
  </si>
  <si>
    <t>更新时间：2016.03.09</t>
    <phoneticPr fontId="37" type="noConversion"/>
  </si>
  <si>
    <t>类型</t>
    <phoneticPr fontId="37" type="noConversion"/>
  </si>
  <si>
    <t>客户</t>
    <phoneticPr fontId="37" type="noConversion"/>
  </si>
  <si>
    <t>未出货订单类别统计表</t>
    <phoneticPr fontId="37" type="noConversion"/>
  </si>
  <si>
    <t>周婷</t>
    <phoneticPr fontId="37" type="noConversion"/>
  </si>
  <si>
    <t>唐琼茜</t>
    <phoneticPr fontId="37" type="noConversion"/>
  </si>
  <si>
    <t>吕婵娟</t>
    <phoneticPr fontId="37" type="noConversion"/>
  </si>
  <si>
    <t>胡金文</t>
    <phoneticPr fontId="37" type="noConversion"/>
  </si>
  <si>
    <t>李绍兰</t>
    <phoneticPr fontId="37" type="noConversion"/>
  </si>
  <si>
    <t>袁松燕</t>
    <phoneticPr fontId="37" type="noConversion"/>
  </si>
  <si>
    <t>董灏</t>
    <phoneticPr fontId="37" type="noConversion"/>
  </si>
  <si>
    <t>王强</t>
    <phoneticPr fontId="37" type="noConversion"/>
  </si>
  <si>
    <t>付连</t>
    <phoneticPr fontId="37" type="noConversion"/>
  </si>
  <si>
    <t>王晓檬</t>
    <phoneticPr fontId="37" type="noConversion"/>
  </si>
  <si>
    <t>鲁晨诗</t>
    <phoneticPr fontId="37" type="noConversion"/>
  </si>
  <si>
    <r>
      <rPr>
        <sz val="10"/>
        <rFont val="宋体"/>
        <family val="3"/>
        <charset val="134"/>
      </rPr>
      <t>周婷</t>
    </r>
    <phoneticPr fontId="37" type="noConversion"/>
  </si>
  <si>
    <r>
      <rPr>
        <sz val="10"/>
        <rFont val="宋体"/>
        <family val="3"/>
        <charset val="134"/>
      </rPr>
      <t>唐琼茜</t>
    </r>
    <phoneticPr fontId="37" type="noConversion"/>
  </si>
  <si>
    <r>
      <rPr>
        <sz val="10"/>
        <rFont val="宋体"/>
        <family val="3"/>
        <charset val="134"/>
      </rPr>
      <t>吕婵娟</t>
    </r>
    <phoneticPr fontId="37" type="noConversion"/>
  </si>
  <si>
    <r>
      <rPr>
        <sz val="10"/>
        <rFont val="宋体"/>
        <family val="3"/>
        <charset val="134"/>
      </rPr>
      <t>胡金文</t>
    </r>
    <phoneticPr fontId="37" type="noConversion"/>
  </si>
  <si>
    <r>
      <rPr>
        <sz val="10"/>
        <rFont val="宋体"/>
        <family val="3"/>
        <charset val="134"/>
      </rPr>
      <t>李绍兰</t>
    </r>
    <phoneticPr fontId="37" type="noConversion"/>
  </si>
  <si>
    <r>
      <rPr>
        <sz val="10"/>
        <rFont val="宋体"/>
        <family val="3"/>
        <charset val="134"/>
      </rPr>
      <t>袁松燕</t>
    </r>
    <phoneticPr fontId="37" type="noConversion"/>
  </si>
  <si>
    <r>
      <rPr>
        <sz val="10"/>
        <rFont val="宋体"/>
        <family val="3"/>
        <charset val="134"/>
      </rPr>
      <t>董灏</t>
    </r>
    <phoneticPr fontId="37" type="noConversion"/>
  </si>
  <si>
    <r>
      <rPr>
        <sz val="10"/>
        <rFont val="宋体"/>
        <family val="3"/>
        <charset val="134"/>
      </rPr>
      <t>潭春艳</t>
    </r>
    <phoneticPr fontId="37" type="noConversion"/>
  </si>
  <si>
    <r>
      <rPr>
        <sz val="10"/>
        <rFont val="宋体"/>
        <family val="3"/>
        <charset val="134"/>
      </rPr>
      <t>王强</t>
    </r>
    <phoneticPr fontId="37" type="noConversion"/>
  </si>
  <si>
    <r>
      <rPr>
        <sz val="10"/>
        <rFont val="宋体"/>
        <family val="3"/>
        <charset val="134"/>
      </rPr>
      <t>林碧云</t>
    </r>
    <phoneticPr fontId="37" type="noConversion"/>
  </si>
  <si>
    <r>
      <rPr>
        <sz val="10"/>
        <rFont val="宋体"/>
        <family val="3"/>
        <charset val="134"/>
      </rPr>
      <t>付连</t>
    </r>
    <phoneticPr fontId="37" type="noConversion"/>
  </si>
  <si>
    <r>
      <rPr>
        <sz val="10"/>
        <rFont val="宋体"/>
        <family val="3"/>
        <charset val="134"/>
      </rPr>
      <t>王晓檬</t>
    </r>
    <phoneticPr fontId="37" type="noConversion"/>
  </si>
  <si>
    <r>
      <rPr>
        <sz val="10"/>
        <rFont val="宋体"/>
        <family val="3"/>
        <charset val="134"/>
      </rPr>
      <t>龚芳</t>
    </r>
    <phoneticPr fontId="37" type="noConversion"/>
  </si>
  <si>
    <r>
      <rPr>
        <sz val="10"/>
        <rFont val="宋体"/>
        <family val="3"/>
        <charset val="134"/>
      </rPr>
      <t>鲁晨诗</t>
    </r>
    <phoneticPr fontId="37" type="noConversion"/>
  </si>
  <si>
    <r>
      <rPr>
        <sz val="10"/>
        <rFont val="宋体"/>
        <family val="3"/>
        <charset val="134"/>
      </rPr>
      <t>潭春艳</t>
    </r>
  </si>
  <si>
    <r>
      <rPr>
        <sz val="10"/>
        <rFont val="宋体"/>
        <family val="3"/>
        <charset val="134"/>
      </rPr>
      <t>胡珍姑</t>
    </r>
    <phoneticPr fontId="37" type="noConversion"/>
  </si>
  <si>
    <r>
      <rPr>
        <sz val="10"/>
        <rFont val="宋体"/>
        <family val="3"/>
        <charset val="134"/>
      </rPr>
      <t>仝绪娥</t>
    </r>
    <phoneticPr fontId="37" type="noConversion"/>
  </si>
  <si>
    <r>
      <rPr>
        <sz val="10"/>
        <rFont val="宋体"/>
        <family val="3"/>
        <charset val="134"/>
      </rPr>
      <t>张莉</t>
    </r>
    <phoneticPr fontId="37" type="noConversion"/>
  </si>
  <si>
    <r>
      <rPr>
        <sz val="10"/>
        <rFont val="宋体"/>
        <family val="3"/>
        <charset val="134"/>
      </rPr>
      <t>孙娟</t>
    </r>
    <phoneticPr fontId="37" type="noConversion"/>
  </si>
  <si>
    <r>
      <rPr>
        <sz val="10"/>
        <rFont val="宋体"/>
        <family val="3"/>
        <charset val="134"/>
      </rPr>
      <t>秦芳霞</t>
    </r>
    <phoneticPr fontId="37" type="noConversion"/>
  </si>
  <si>
    <r>
      <rPr>
        <sz val="10"/>
        <rFont val="宋体"/>
        <family val="3"/>
        <charset val="134"/>
      </rPr>
      <t>卿春艳（孙金）</t>
    </r>
    <phoneticPr fontId="37" type="noConversion"/>
  </si>
  <si>
    <r>
      <rPr>
        <sz val="10"/>
        <rFont val="宋体"/>
        <family val="3"/>
        <charset val="134"/>
      </rPr>
      <t>党文科</t>
    </r>
    <phoneticPr fontId="37" type="noConversion"/>
  </si>
  <si>
    <r>
      <rPr>
        <sz val="10"/>
        <rFont val="宋体"/>
        <family val="3"/>
        <charset val="134"/>
      </rPr>
      <t>武玲玲</t>
    </r>
    <phoneticPr fontId="37" type="noConversion"/>
  </si>
  <si>
    <r>
      <rPr>
        <sz val="10"/>
        <rFont val="宋体"/>
        <family val="3"/>
        <charset val="134"/>
      </rPr>
      <t>吴龙方</t>
    </r>
    <phoneticPr fontId="37" type="noConversion"/>
  </si>
  <si>
    <r>
      <rPr>
        <b/>
        <sz val="11"/>
        <rFont val="宋体"/>
        <family val="3"/>
        <charset val="134"/>
      </rPr>
      <t>客户</t>
    </r>
    <phoneticPr fontId="45" type="noConversion"/>
  </si>
  <si>
    <r>
      <rPr>
        <b/>
        <sz val="11"/>
        <rFont val="宋体"/>
        <family val="3"/>
        <charset val="134"/>
      </rPr>
      <t>业务员</t>
    </r>
    <phoneticPr fontId="45" type="noConversion"/>
  </si>
  <si>
    <r>
      <rPr>
        <b/>
        <sz val="11"/>
        <rFont val="宋体"/>
        <family val="3"/>
        <charset val="134"/>
      </rPr>
      <t>订单数量</t>
    </r>
    <phoneticPr fontId="37" type="noConversion"/>
  </si>
  <si>
    <r>
      <rPr>
        <b/>
        <sz val="11"/>
        <rFont val="宋体"/>
        <family val="3"/>
        <charset val="134"/>
      </rPr>
      <t>订单金额</t>
    </r>
    <phoneticPr fontId="37" type="noConversion"/>
  </si>
  <si>
    <t>STONY</t>
    <phoneticPr fontId="45" type="noConversion"/>
  </si>
  <si>
    <t>各工厂现有订单统计</t>
    <phoneticPr fontId="37" type="noConversion"/>
  </si>
  <si>
    <t>2016.03.09</t>
    <phoneticPr fontId="37" type="noConversion"/>
  </si>
  <si>
    <t>No.</t>
    <phoneticPr fontId="37" type="noConversion"/>
  </si>
  <si>
    <t>工厂</t>
    <phoneticPr fontId="37" type="noConversion"/>
  </si>
  <si>
    <t>件数</t>
    <phoneticPr fontId="37" type="noConversion"/>
  </si>
  <si>
    <t>百利达</t>
    <phoneticPr fontId="37" type="noConversion"/>
  </si>
  <si>
    <t>依饰杰</t>
    <phoneticPr fontId="37" type="noConversion"/>
  </si>
  <si>
    <t>泰豪</t>
    <phoneticPr fontId="37" type="noConversion"/>
  </si>
  <si>
    <t>景润</t>
    <phoneticPr fontId="37" type="noConversion"/>
  </si>
  <si>
    <t>白云/泰豪/美琪/依饰杰</t>
    <phoneticPr fontId="61" type="noConversion"/>
  </si>
  <si>
    <t>依饰杰/忆莱/高梵</t>
    <phoneticPr fontId="61" type="noConversion"/>
  </si>
  <si>
    <t>百利达/依尚</t>
    <phoneticPr fontId="61" type="noConversion"/>
  </si>
  <si>
    <t>白云</t>
    <phoneticPr fontId="37" type="noConversion"/>
  </si>
  <si>
    <t>支云塔</t>
    <phoneticPr fontId="37" type="noConversion"/>
  </si>
  <si>
    <t>百利达/铁源</t>
    <phoneticPr fontId="61" type="noConversion"/>
  </si>
  <si>
    <t>铁源</t>
    <phoneticPr fontId="61" type="noConversion"/>
  </si>
  <si>
    <t>百利达/白云/支云塔</t>
    <phoneticPr fontId="61" type="noConversion"/>
  </si>
  <si>
    <t>支云塔/百利达</t>
    <phoneticPr fontId="61" type="noConversion"/>
  </si>
  <si>
    <t>欧凯</t>
    <phoneticPr fontId="37" type="noConversion"/>
  </si>
  <si>
    <t>美琪</t>
    <phoneticPr fontId="37" type="noConversion"/>
  </si>
  <si>
    <t>唯路易</t>
    <phoneticPr fontId="61" type="noConversion"/>
  </si>
  <si>
    <t>同飞</t>
    <phoneticPr fontId="61" type="noConversion"/>
  </si>
  <si>
    <t>高梵</t>
    <phoneticPr fontId="61" type="noConversion"/>
  </si>
  <si>
    <t>忆莱</t>
    <phoneticPr fontId="61" type="noConversion"/>
  </si>
  <si>
    <t>云英</t>
    <phoneticPr fontId="37" type="noConversion"/>
  </si>
  <si>
    <t>润鑫</t>
  </si>
  <si>
    <t>百利达/炜雅娜</t>
    <phoneticPr fontId="61" type="noConversion"/>
  </si>
  <si>
    <t>泰豪/支云塔</t>
    <phoneticPr fontId="61" type="noConversion"/>
  </si>
  <si>
    <t>同飞/支云塔</t>
    <phoneticPr fontId="61" type="noConversion"/>
  </si>
  <si>
    <t>东莉</t>
    <phoneticPr fontId="61" type="noConversion"/>
  </si>
  <si>
    <t>依尚</t>
    <phoneticPr fontId="37" type="noConversion"/>
  </si>
  <si>
    <t>泰豪/铁源</t>
    <phoneticPr fontId="61" type="noConversion"/>
  </si>
  <si>
    <t>炜雅娜</t>
    <phoneticPr fontId="61" type="noConversion"/>
  </si>
  <si>
    <t>昊天</t>
    <phoneticPr fontId="61" type="noConversion"/>
  </si>
  <si>
    <t>忆莱/云英</t>
    <phoneticPr fontId="61" type="noConversion"/>
  </si>
  <si>
    <t>百利达/丁大/依尚</t>
    <phoneticPr fontId="61" type="noConversion"/>
  </si>
  <si>
    <t>明月</t>
    <phoneticPr fontId="61" type="noConversion"/>
  </si>
  <si>
    <t>未排工厂</t>
    <phoneticPr fontId="37" type="noConversion"/>
  </si>
  <si>
    <t>TTL：</t>
    <phoneticPr fontId="37" type="noConversion"/>
  </si>
  <si>
    <r>
      <t>2016</t>
    </r>
    <r>
      <rPr>
        <b/>
        <sz val="10"/>
        <color theme="1"/>
        <rFont val="宋体"/>
        <family val="3"/>
        <charset val="134"/>
      </rPr>
      <t>工厂现有订单明细</t>
    </r>
    <r>
      <rPr>
        <b/>
        <sz val="10"/>
        <color theme="1"/>
        <rFont val="Arial"/>
        <family val="2"/>
      </rPr>
      <t xml:space="preserve">     </t>
    </r>
    <r>
      <rPr>
        <b/>
        <sz val="10"/>
        <color theme="1"/>
        <rFont val="宋体"/>
        <family val="3"/>
        <charset val="134"/>
      </rPr>
      <t>更新：</t>
    </r>
    <r>
      <rPr>
        <b/>
        <sz val="10"/>
        <color theme="1"/>
        <rFont val="Arial"/>
        <family val="2"/>
      </rPr>
      <t>2016.03.10</t>
    </r>
    <phoneticPr fontId="61" type="noConversion"/>
  </si>
  <si>
    <t>RCT</t>
    <phoneticPr fontId="61" type="noConversion"/>
  </si>
  <si>
    <t>FAC.</t>
    <phoneticPr fontId="61" type="noConversion"/>
  </si>
  <si>
    <t>MERCHANDISER</t>
    <phoneticPr fontId="61" type="noConversion"/>
  </si>
  <si>
    <t>P/O</t>
    <phoneticPr fontId="61" type="noConversion"/>
  </si>
  <si>
    <t>STYLE  NO.</t>
    <phoneticPr fontId="61" type="noConversion"/>
  </si>
  <si>
    <t>STORE</t>
    <phoneticPr fontId="61" type="noConversion"/>
  </si>
  <si>
    <t>QTY</t>
    <phoneticPr fontId="61" type="noConversion"/>
  </si>
  <si>
    <t>UNIT PRICE</t>
    <phoneticPr fontId="61" type="noConversion"/>
  </si>
  <si>
    <t>TOTAL AMOUNT</t>
  </si>
  <si>
    <t>EX-F</t>
    <phoneticPr fontId="61" type="noConversion"/>
  </si>
  <si>
    <t>I/H DATE</t>
    <phoneticPr fontId="61" type="noConversion"/>
  </si>
  <si>
    <t>白云</t>
    <phoneticPr fontId="37" type="noConversion"/>
  </si>
  <si>
    <t>BA302-1</t>
    <phoneticPr fontId="37" type="noConversion"/>
  </si>
  <si>
    <t>J3520MMEYZ</t>
    <phoneticPr fontId="37" type="noConversion"/>
  </si>
  <si>
    <t>TARGET</t>
    <phoneticPr fontId="37" type="noConversion"/>
  </si>
  <si>
    <t>2016-5-9</t>
    <phoneticPr fontId="37" type="noConversion"/>
  </si>
  <si>
    <t>梭织</t>
    <phoneticPr fontId="37" type="noConversion"/>
  </si>
  <si>
    <t>BA302EC-1</t>
    <phoneticPr fontId="37" type="noConversion"/>
  </si>
  <si>
    <t>董灏</t>
  </si>
  <si>
    <t>BA303-1</t>
    <phoneticPr fontId="37" type="noConversion"/>
  </si>
  <si>
    <t>J8042MMEYK</t>
    <phoneticPr fontId="37" type="noConversion"/>
  </si>
  <si>
    <t>2016-5-2</t>
    <phoneticPr fontId="37" type="noConversion"/>
  </si>
  <si>
    <t>武玲玲</t>
    <phoneticPr fontId="37" type="noConversion"/>
  </si>
  <si>
    <t>CL153479-1</t>
    <phoneticPr fontId="37" type="noConversion"/>
  </si>
  <si>
    <t>JCPD010479</t>
    <phoneticPr fontId="37" type="noConversion"/>
  </si>
  <si>
    <t>JCP</t>
    <phoneticPr fontId="37" type="noConversion"/>
  </si>
  <si>
    <t>2016-3-27</t>
    <phoneticPr fontId="37" type="noConversion"/>
  </si>
  <si>
    <t>针织</t>
    <phoneticPr fontId="37" type="noConversion"/>
  </si>
  <si>
    <t>CL153479-2</t>
  </si>
  <si>
    <t>CL153479-3</t>
  </si>
  <si>
    <t>秦芳霞</t>
    <phoneticPr fontId="37" type="noConversion"/>
  </si>
  <si>
    <t>016117</t>
    <phoneticPr fontId="37" type="noConversion"/>
  </si>
  <si>
    <t>XHFTK0863</t>
    <phoneticPr fontId="37" type="noConversion"/>
  </si>
  <si>
    <t>2016-4-18</t>
    <phoneticPr fontId="37" type="noConversion"/>
  </si>
  <si>
    <t>CL160241</t>
    <phoneticPr fontId="37" type="noConversion"/>
  </si>
  <si>
    <t>FDK5440</t>
    <phoneticPr fontId="37" type="noConversion"/>
  </si>
  <si>
    <t>FIRE</t>
    <phoneticPr fontId="37" type="noConversion"/>
  </si>
  <si>
    <t>2016-5-1</t>
    <phoneticPr fontId="37" type="noConversion"/>
  </si>
  <si>
    <t>CL160242</t>
    <phoneticPr fontId="37" type="noConversion"/>
  </si>
  <si>
    <t>CL160243</t>
    <phoneticPr fontId="37" type="noConversion"/>
  </si>
  <si>
    <t>FDK5185</t>
    <phoneticPr fontId="37" type="noConversion"/>
  </si>
  <si>
    <t>CL160244</t>
    <phoneticPr fontId="37" type="noConversion"/>
  </si>
  <si>
    <t>016562</t>
    <phoneticPr fontId="37" type="noConversion"/>
  </si>
  <si>
    <t>SFT020546</t>
    <phoneticPr fontId="37" type="noConversion"/>
  </si>
  <si>
    <t>016771</t>
    <phoneticPr fontId="37" type="noConversion"/>
  </si>
  <si>
    <t>SFT020540</t>
    <phoneticPr fontId="37" type="noConversion"/>
  </si>
  <si>
    <t>BELK</t>
    <phoneticPr fontId="37" type="noConversion"/>
  </si>
  <si>
    <t>白云/泰豪/美琪/依饰杰</t>
    <phoneticPr fontId="37" type="noConversion"/>
  </si>
  <si>
    <t>胡珍姑</t>
    <phoneticPr fontId="37" type="noConversion"/>
  </si>
  <si>
    <t>3736</t>
  </si>
  <si>
    <t>ANL7</t>
    <phoneticPr fontId="37" type="noConversion"/>
  </si>
  <si>
    <t>WALMART</t>
    <phoneticPr fontId="37" type="noConversion"/>
  </si>
  <si>
    <t>2016-4-4</t>
    <phoneticPr fontId="37" type="noConversion"/>
  </si>
  <si>
    <t>3949</t>
    <phoneticPr fontId="37" type="noConversion"/>
  </si>
  <si>
    <t>3950</t>
  </si>
  <si>
    <t>2016-6-6</t>
    <phoneticPr fontId="37" type="noConversion"/>
  </si>
  <si>
    <t>3951</t>
  </si>
  <si>
    <t>3952</t>
  </si>
  <si>
    <t>3956</t>
  </si>
  <si>
    <t>3957</t>
  </si>
  <si>
    <t>3959</t>
  </si>
  <si>
    <t>3961</t>
  </si>
  <si>
    <t>2016-5-16</t>
    <phoneticPr fontId="37" type="noConversion"/>
  </si>
  <si>
    <t>3963</t>
  </si>
  <si>
    <t>2016-6-20</t>
    <phoneticPr fontId="37" type="noConversion"/>
  </si>
  <si>
    <t>百利达</t>
    <phoneticPr fontId="37" type="noConversion"/>
  </si>
  <si>
    <t>BA241-1</t>
    <phoneticPr fontId="37" type="noConversion"/>
  </si>
  <si>
    <t>J5885CAVRK</t>
    <phoneticPr fontId="37" type="noConversion"/>
  </si>
  <si>
    <t>2016-3-14</t>
    <phoneticPr fontId="37" type="noConversion"/>
  </si>
  <si>
    <t>BA241ATS</t>
    <phoneticPr fontId="37" type="noConversion"/>
  </si>
  <si>
    <t>HOUSE ACCOUNT</t>
    <phoneticPr fontId="37" type="noConversion"/>
  </si>
  <si>
    <t>2016-3-21</t>
    <phoneticPr fontId="37" type="noConversion"/>
  </si>
  <si>
    <t>BA241ATS-01</t>
    <phoneticPr fontId="37" type="noConversion"/>
  </si>
  <si>
    <t>ZUMIEZ</t>
    <phoneticPr fontId="37" type="noConversion"/>
  </si>
  <si>
    <t>BA241ATSEC-01</t>
    <phoneticPr fontId="37" type="noConversion"/>
  </si>
  <si>
    <t>BA242-1</t>
    <phoneticPr fontId="37" type="noConversion"/>
  </si>
  <si>
    <t>J5886CAVQK</t>
    <phoneticPr fontId="37" type="noConversion"/>
  </si>
  <si>
    <t>BA242ATS</t>
    <phoneticPr fontId="37" type="noConversion"/>
  </si>
  <si>
    <t>BA242ATS-01</t>
    <phoneticPr fontId="37" type="noConversion"/>
  </si>
  <si>
    <t>FRED MEYER</t>
    <phoneticPr fontId="37" type="noConversion"/>
  </si>
  <si>
    <t>BA243-1</t>
    <phoneticPr fontId="37" type="noConversion"/>
  </si>
  <si>
    <t>J5886CBCYK</t>
    <phoneticPr fontId="37" type="noConversion"/>
  </si>
  <si>
    <t>BA243ATS</t>
    <phoneticPr fontId="37" type="noConversion"/>
  </si>
  <si>
    <t>BA244-1</t>
    <phoneticPr fontId="37" type="noConversion"/>
  </si>
  <si>
    <t>J5895CAVQK</t>
    <phoneticPr fontId="37" type="noConversion"/>
  </si>
  <si>
    <t>BA244ATS</t>
    <phoneticPr fontId="37" type="noConversion"/>
  </si>
  <si>
    <t>BA244ATS-01</t>
    <phoneticPr fontId="37" type="noConversion"/>
  </si>
  <si>
    <t>BA244ATSEC-01</t>
    <phoneticPr fontId="37" type="noConversion"/>
  </si>
  <si>
    <t>BA245-1</t>
    <phoneticPr fontId="37" type="noConversion"/>
  </si>
  <si>
    <t>J5895CAVRK</t>
    <phoneticPr fontId="37" type="noConversion"/>
  </si>
  <si>
    <t>BA245ATS</t>
    <phoneticPr fontId="37" type="noConversion"/>
  </si>
  <si>
    <t>BA245ATS-01</t>
    <phoneticPr fontId="37" type="noConversion"/>
  </si>
  <si>
    <t>BA264-1</t>
    <phoneticPr fontId="37" type="noConversion"/>
  </si>
  <si>
    <t>J8060MYUSZ</t>
    <phoneticPr fontId="37" type="noConversion"/>
  </si>
  <si>
    <t>BA264EC-1</t>
    <phoneticPr fontId="37" type="noConversion"/>
  </si>
  <si>
    <t>BA264A-1</t>
    <phoneticPr fontId="37" type="noConversion"/>
  </si>
  <si>
    <t>TARGET.COM</t>
    <phoneticPr fontId="37" type="noConversion"/>
  </si>
  <si>
    <t>BA265-1</t>
    <phoneticPr fontId="37" type="noConversion"/>
  </si>
  <si>
    <t>J8060MYUYZ</t>
    <phoneticPr fontId="37" type="noConversion"/>
  </si>
  <si>
    <t>BA265A-1</t>
    <phoneticPr fontId="37" type="noConversion"/>
  </si>
  <si>
    <t>周婷/董灏</t>
    <phoneticPr fontId="37" type="noConversion"/>
  </si>
  <si>
    <t>BA297-1</t>
    <phoneticPr fontId="37" type="noConversion"/>
  </si>
  <si>
    <t>J6119CBDNK</t>
    <phoneticPr fontId="37" type="noConversion"/>
  </si>
  <si>
    <t>BA298-1</t>
    <phoneticPr fontId="37" type="noConversion"/>
  </si>
  <si>
    <t>J6119MWQUK</t>
    <phoneticPr fontId="37" type="noConversion"/>
  </si>
  <si>
    <t>百利达</t>
  </si>
  <si>
    <t>CL152874</t>
    <phoneticPr fontId="37" type="noConversion"/>
  </si>
  <si>
    <t>RMFD009271TT</t>
    <phoneticPr fontId="37" type="noConversion"/>
  </si>
  <si>
    <t>RRR</t>
    <phoneticPr fontId="37" type="noConversion"/>
  </si>
  <si>
    <t>2016-5-15</t>
    <phoneticPr fontId="37" type="noConversion"/>
  </si>
  <si>
    <t>CL152875</t>
  </si>
  <si>
    <t>014225</t>
    <phoneticPr fontId="37" type="noConversion"/>
  </si>
  <si>
    <t>AVB018094</t>
    <phoneticPr fontId="37" type="noConversion"/>
  </si>
  <si>
    <t>2016-3-13</t>
    <phoneticPr fontId="37" type="noConversion"/>
  </si>
  <si>
    <t>CL153505</t>
    <phoneticPr fontId="37" type="noConversion"/>
  </si>
  <si>
    <t>MBT016169S</t>
    <phoneticPr fontId="37" type="noConversion"/>
  </si>
  <si>
    <t>2016-4-10</t>
    <phoneticPr fontId="37" type="noConversion"/>
  </si>
  <si>
    <t>MBT016169ST2</t>
    <phoneticPr fontId="37" type="noConversion"/>
  </si>
  <si>
    <t>017204</t>
    <phoneticPr fontId="37" type="noConversion"/>
  </si>
  <si>
    <t>SFT021034</t>
    <phoneticPr fontId="37" type="noConversion"/>
  </si>
  <si>
    <t>Stitch Fix Line</t>
    <phoneticPr fontId="37" type="noConversion"/>
  </si>
  <si>
    <t>2016-5-29</t>
    <phoneticPr fontId="37" type="noConversion"/>
  </si>
  <si>
    <t>HFC#91446</t>
    <phoneticPr fontId="37" type="noConversion"/>
  </si>
  <si>
    <t>21719A0001</t>
    <phoneticPr fontId="37" type="noConversion"/>
  </si>
  <si>
    <t>MACYS</t>
    <phoneticPr fontId="37" type="noConversion"/>
  </si>
  <si>
    <t>2016-3-28</t>
    <phoneticPr fontId="37" type="noConversion"/>
  </si>
  <si>
    <t>HFC#91446-1</t>
    <phoneticPr fontId="37" type="noConversion"/>
  </si>
  <si>
    <t>HFC#91464</t>
    <phoneticPr fontId="37" type="noConversion"/>
  </si>
  <si>
    <t>22648A0001</t>
    <phoneticPr fontId="37" type="noConversion"/>
  </si>
  <si>
    <t>2016-4-25</t>
    <phoneticPr fontId="37" type="noConversion"/>
  </si>
  <si>
    <t>HFC#91464-1</t>
    <phoneticPr fontId="37" type="noConversion"/>
  </si>
  <si>
    <t>HFC#91464-2</t>
    <phoneticPr fontId="37" type="noConversion"/>
  </si>
  <si>
    <t>HFC#91464-3</t>
    <phoneticPr fontId="37" type="noConversion"/>
  </si>
  <si>
    <t>HFC#91466</t>
    <phoneticPr fontId="37" type="noConversion"/>
  </si>
  <si>
    <t>22648B0001</t>
    <phoneticPr fontId="37" type="noConversion"/>
  </si>
  <si>
    <t>HFC#91466-1</t>
    <phoneticPr fontId="37" type="noConversion"/>
  </si>
  <si>
    <t>HFC#91466-2</t>
    <phoneticPr fontId="37" type="noConversion"/>
  </si>
  <si>
    <t>4-16-403952</t>
    <phoneticPr fontId="37" type="noConversion"/>
  </si>
  <si>
    <t>46680A0001</t>
    <phoneticPr fontId="37" type="noConversion"/>
  </si>
  <si>
    <t>4-16-403953</t>
    <phoneticPr fontId="37" type="noConversion"/>
  </si>
  <si>
    <t>4-16-403954</t>
    <phoneticPr fontId="37" type="noConversion"/>
  </si>
  <si>
    <t>12022</t>
    <phoneticPr fontId="37" type="noConversion"/>
  </si>
  <si>
    <t>6875</t>
    <phoneticPr fontId="37" type="noConversion"/>
  </si>
  <si>
    <t>2016-3-6</t>
    <phoneticPr fontId="37" type="noConversion"/>
  </si>
  <si>
    <t>12023</t>
    <phoneticPr fontId="37" type="noConversion"/>
  </si>
  <si>
    <t>12024</t>
    <phoneticPr fontId="37" type="noConversion"/>
  </si>
  <si>
    <t>12025</t>
    <phoneticPr fontId="37" type="noConversion"/>
  </si>
  <si>
    <t>12129</t>
    <phoneticPr fontId="37" type="noConversion"/>
  </si>
  <si>
    <t>12130</t>
    <phoneticPr fontId="37" type="noConversion"/>
  </si>
  <si>
    <t>P170537-1</t>
    <phoneticPr fontId="37" type="noConversion"/>
  </si>
  <si>
    <t>NJ36B742M</t>
    <phoneticPr fontId="37" type="noConversion"/>
  </si>
  <si>
    <t>2016-4-11</t>
    <phoneticPr fontId="37" type="noConversion"/>
  </si>
  <si>
    <t>P170537-2</t>
    <phoneticPr fontId="37" type="noConversion"/>
  </si>
  <si>
    <t>P170544-1</t>
    <phoneticPr fontId="37" type="noConversion"/>
  </si>
  <si>
    <t>P170544-2</t>
    <phoneticPr fontId="37" type="noConversion"/>
  </si>
  <si>
    <t>P170549-1</t>
    <phoneticPr fontId="37" type="noConversion"/>
  </si>
  <si>
    <t>P170549-2</t>
    <phoneticPr fontId="37" type="noConversion"/>
  </si>
  <si>
    <t>P170563-1</t>
    <phoneticPr fontId="37" type="noConversion"/>
  </si>
  <si>
    <t>2016-5-23</t>
    <phoneticPr fontId="37" type="noConversion"/>
  </si>
  <si>
    <t>P170563-2</t>
    <phoneticPr fontId="37" type="noConversion"/>
  </si>
  <si>
    <t>P170564-1</t>
    <phoneticPr fontId="37" type="noConversion"/>
  </si>
  <si>
    <t>P170564-2</t>
    <phoneticPr fontId="37" type="noConversion"/>
  </si>
  <si>
    <t>P170565</t>
    <phoneticPr fontId="37" type="noConversion"/>
  </si>
  <si>
    <t>P170566</t>
    <phoneticPr fontId="37" type="noConversion"/>
  </si>
  <si>
    <t>NJ36B742M(SP3669)</t>
    <phoneticPr fontId="37" type="noConversion"/>
  </si>
  <si>
    <t>P170567</t>
    <phoneticPr fontId="37" type="noConversion"/>
  </si>
  <si>
    <t>P170568</t>
    <phoneticPr fontId="37" type="noConversion"/>
  </si>
  <si>
    <t>P170956-1</t>
    <phoneticPr fontId="37" type="noConversion"/>
  </si>
  <si>
    <t>SP3669</t>
    <phoneticPr fontId="37" type="noConversion"/>
  </si>
  <si>
    <t>SHOPKO</t>
    <phoneticPr fontId="37" type="noConversion"/>
  </si>
  <si>
    <t>P170956-2</t>
    <phoneticPr fontId="37" type="noConversion"/>
  </si>
  <si>
    <t>STOCK</t>
    <phoneticPr fontId="37" type="noConversion"/>
  </si>
  <si>
    <t>P170951-1</t>
    <phoneticPr fontId="37" type="noConversion"/>
  </si>
  <si>
    <t>P170951-2</t>
    <phoneticPr fontId="37" type="noConversion"/>
  </si>
  <si>
    <t>P171141-1</t>
    <phoneticPr fontId="37" type="noConversion"/>
  </si>
  <si>
    <t>WALMART.COM</t>
    <phoneticPr fontId="37" type="noConversion"/>
  </si>
  <si>
    <t>P171141-2</t>
    <phoneticPr fontId="37" type="noConversion"/>
  </si>
  <si>
    <t>100-00019878</t>
    <phoneticPr fontId="37" type="noConversion"/>
  </si>
  <si>
    <t>JTB6052CMV</t>
    <phoneticPr fontId="37" type="noConversion"/>
  </si>
  <si>
    <t>100-00019877</t>
    <phoneticPr fontId="37" type="noConversion"/>
  </si>
  <si>
    <t>JTW7160CMV</t>
    <phoneticPr fontId="37" type="noConversion"/>
  </si>
  <si>
    <t>10000020841</t>
    <phoneticPr fontId="37" type="noConversion"/>
  </si>
  <si>
    <t>JTW7176GLB</t>
    <phoneticPr fontId="37" type="noConversion"/>
  </si>
  <si>
    <t>2016-5-8</t>
    <phoneticPr fontId="37" type="noConversion"/>
  </si>
  <si>
    <t>10000020842</t>
    <phoneticPr fontId="37" type="noConversion"/>
  </si>
  <si>
    <t>JTB6060GLB</t>
    <phoneticPr fontId="37" type="noConversion"/>
  </si>
  <si>
    <t>0000021126/001-003-005</t>
    <phoneticPr fontId="37" type="noConversion"/>
  </si>
  <si>
    <t>MLG003_TRG_WPL</t>
    <phoneticPr fontId="37" type="noConversion"/>
  </si>
  <si>
    <t>0000729342/001-002</t>
    <phoneticPr fontId="37" type="noConversion"/>
  </si>
  <si>
    <t>谭春艳</t>
    <phoneticPr fontId="37" type="noConversion"/>
  </si>
  <si>
    <t>CL160434(PO278)</t>
  </si>
  <si>
    <t>ILG118_SOUT_SOM</t>
    <phoneticPr fontId="37" type="noConversion"/>
  </si>
  <si>
    <t>Southern Marsh</t>
    <phoneticPr fontId="37" type="noConversion"/>
  </si>
  <si>
    <t>2016-4-30</t>
    <phoneticPr fontId="37" type="noConversion"/>
  </si>
  <si>
    <t>CL160437(PO279)</t>
  </si>
  <si>
    <t>ILG119_SOUT_SOM</t>
    <phoneticPr fontId="37" type="noConversion"/>
  </si>
  <si>
    <t>百利达/白云/支云塔</t>
    <phoneticPr fontId="37" type="noConversion"/>
  </si>
  <si>
    <t>CL153485</t>
    <phoneticPr fontId="37" type="noConversion"/>
  </si>
  <si>
    <t>MBT012604S/H</t>
    <phoneticPr fontId="37" type="noConversion"/>
  </si>
  <si>
    <t>CL153486</t>
  </si>
  <si>
    <t>MBT020471</t>
    <phoneticPr fontId="37" type="noConversion"/>
  </si>
  <si>
    <t>百利达/丁大/依尚</t>
    <phoneticPr fontId="37" type="noConversion"/>
  </si>
  <si>
    <t>P170550</t>
    <phoneticPr fontId="37" type="noConversion"/>
  </si>
  <si>
    <t>NJ26B588M</t>
    <phoneticPr fontId="37" type="noConversion"/>
  </si>
  <si>
    <t>P170551</t>
    <phoneticPr fontId="37" type="noConversion"/>
  </si>
  <si>
    <t>P170552</t>
    <phoneticPr fontId="37" type="noConversion"/>
  </si>
  <si>
    <t>百利达/铁源</t>
    <phoneticPr fontId="37" type="noConversion"/>
  </si>
  <si>
    <t>BA300-1</t>
    <phoneticPr fontId="37" type="noConversion"/>
  </si>
  <si>
    <t>J2221MZ52Z</t>
    <phoneticPr fontId="37" type="noConversion"/>
  </si>
  <si>
    <t>BA300EC-1</t>
    <phoneticPr fontId="37" type="noConversion"/>
  </si>
  <si>
    <t>BA301-1</t>
    <phoneticPr fontId="37" type="noConversion"/>
  </si>
  <si>
    <t>J2280MC73Z</t>
    <phoneticPr fontId="37" type="noConversion"/>
  </si>
  <si>
    <t>BA301EC-1</t>
    <phoneticPr fontId="37" type="noConversion"/>
  </si>
  <si>
    <t>P170554-1</t>
    <phoneticPr fontId="37" type="noConversion"/>
  </si>
  <si>
    <t>P170554-2</t>
    <phoneticPr fontId="37" type="noConversion"/>
  </si>
  <si>
    <t>百利达/炜雅娜</t>
    <phoneticPr fontId="37" type="noConversion"/>
  </si>
  <si>
    <t>BA234-1</t>
    <phoneticPr fontId="37" type="noConversion"/>
  </si>
  <si>
    <t>J3448MLSWZ</t>
    <phoneticPr fontId="37" type="noConversion"/>
  </si>
  <si>
    <t>BA234A-1</t>
    <phoneticPr fontId="37" type="noConversion"/>
  </si>
  <si>
    <t>VANITY</t>
    <phoneticPr fontId="37" type="noConversion"/>
  </si>
  <si>
    <t>百利达/依尚</t>
    <phoneticPr fontId="37" type="noConversion"/>
  </si>
  <si>
    <t>CL153119</t>
    <phoneticPr fontId="37" type="noConversion"/>
  </si>
  <si>
    <t>FLG26711</t>
    <phoneticPr fontId="37" type="noConversion"/>
  </si>
  <si>
    <t>10000020505</t>
    <phoneticPr fontId="37" type="noConversion"/>
  </si>
  <si>
    <t>JTW3806GCM</t>
    <phoneticPr fontId="37" type="noConversion"/>
  </si>
  <si>
    <t>2016-4-3</t>
    <phoneticPr fontId="37" type="noConversion"/>
  </si>
  <si>
    <t>10000020506</t>
    <phoneticPr fontId="37" type="noConversion"/>
  </si>
  <si>
    <t>JTW3750EEC</t>
    <phoneticPr fontId="37" type="noConversion"/>
  </si>
  <si>
    <t>东莉</t>
    <phoneticPr fontId="37" type="noConversion"/>
  </si>
  <si>
    <t>BA223-2</t>
    <phoneticPr fontId="37" type="noConversion"/>
  </si>
  <si>
    <t>J7943MMEY</t>
    <phoneticPr fontId="37" type="noConversion"/>
  </si>
  <si>
    <t>BA223A-2</t>
    <phoneticPr fontId="37" type="noConversion"/>
  </si>
  <si>
    <t>BA223-4</t>
    <phoneticPr fontId="37" type="noConversion"/>
  </si>
  <si>
    <t>BA223-5</t>
    <phoneticPr fontId="37" type="noConversion"/>
  </si>
  <si>
    <t>BA223B-1</t>
    <phoneticPr fontId="37" type="noConversion"/>
  </si>
  <si>
    <t>BA223A-3</t>
    <phoneticPr fontId="37" type="noConversion"/>
  </si>
  <si>
    <t>BA223A-4</t>
    <phoneticPr fontId="37" type="noConversion"/>
  </si>
  <si>
    <t>BA294-1</t>
    <phoneticPr fontId="37" type="noConversion"/>
  </si>
  <si>
    <t>B7860MMEY</t>
    <phoneticPr fontId="37" type="noConversion"/>
  </si>
  <si>
    <t>CARSON'S</t>
    <phoneticPr fontId="37" type="noConversion"/>
  </si>
  <si>
    <t>BA294ATS</t>
    <phoneticPr fontId="37" type="noConversion"/>
  </si>
  <si>
    <t>BA294ATS-01</t>
    <phoneticPr fontId="37" type="noConversion"/>
  </si>
  <si>
    <t>BUCKLE</t>
    <phoneticPr fontId="37" type="noConversion"/>
  </si>
  <si>
    <t>BA294ATS-02</t>
    <phoneticPr fontId="37" type="noConversion"/>
  </si>
  <si>
    <t>BA293-1</t>
    <phoneticPr fontId="37" type="noConversion"/>
  </si>
  <si>
    <t>J6066MZ60P</t>
    <phoneticPr fontId="37" type="noConversion"/>
  </si>
  <si>
    <t>高梵</t>
    <phoneticPr fontId="37" type="noConversion"/>
  </si>
  <si>
    <t>孙娟</t>
    <phoneticPr fontId="37" type="noConversion"/>
  </si>
  <si>
    <t>3548</t>
    <phoneticPr fontId="37" type="noConversion"/>
  </si>
  <si>
    <t>03JW</t>
    <phoneticPr fontId="37" type="noConversion"/>
  </si>
  <si>
    <t>针织</t>
  </si>
  <si>
    <t>BA219-1</t>
    <phoneticPr fontId="37" type="noConversion"/>
  </si>
  <si>
    <t>J1908MLSWC</t>
    <phoneticPr fontId="37" type="noConversion"/>
  </si>
  <si>
    <t>CATO</t>
    <phoneticPr fontId="37" type="noConversion"/>
  </si>
  <si>
    <t>2016-2-22</t>
    <phoneticPr fontId="37" type="noConversion"/>
  </si>
  <si>
    <t>BA219-2</t>
  </si>
  <si>
    <t>BA219-3</t>
  </si>
  <si>
    <t>BA220-1</t>
    <phoneticPr fontId="37" type="noConversion"/>
  </si>
  <si>
    <t>B1908MLSWC</t>
    <phoneticPr fontId="37" type="noConversion"/>
  </si>
  <si>
    <t>BA220-2</t>
  </si>
  <si>
    <t>BA220-3</t>
  </si>
  <si>
    <t>BA224-1</t>
    <phoneticPr fontId="37" type="noConversion"/>
  </si>
  <si>
    <t>J3320MBFBT</t>
    <phoneticPr fontId="37" type="noConversion"/>
  </si>
  <si>
    <t>2016-3-7</t>
    <phoneticPr fontId="37" type="noConversion"/>
  </si>
  <si>
    <t>BA239-1</t>
    <phoneticPr fontId="37" type="noConversion"/>
  </si>
  <si>
    <t>B3350MYTYC</t>
    <phoneticPr fontId="37" type="noConversion"/>
  </si>
  <si>
    <t>BA259-1</t>
    <phoneticPr fontId="37" type="noConversion"/>
  </si>
  <si>
    <t>J7759CAPAZ</t>
    <phoneticPr fontId="37" type="noConversion"/>
  </si>
  <si>
    <t>BA259A-1</t>
    <phoneticPr fontId="37" type="noConversion"/>
  </si>
  <si>
    <t>BA259EC-1</t>
    <phoneticPr fontId="37" type="noConversion"/>
  </si>
  <si>
    <t>BA260-1</t>
    <phoneticPr fontId="37" type="noConversion"/>
  </si>
  <si>
    <t>J7759MYUZZ</t>
    <phoneticPr fontId="37" type="noConversion"/>
  </si>
  <si>
    <t>BA260A-1</t>
    <phoneticPr fontId="37" type="noConversion"/>
  </si>
  <si>
    <t>BA261-1</t>
    <phoneticPr fontId="37" type="noConversion"/>
  </si>
  <si>
    <t>J7759MZ74Z</t>
    <phoneticPr fontId="37" type="noConversion"/>
  </si>
  <si>
    <t>BA261A-1</t>
    <phoneticPr fontId="37" type="noConversion"/>
  </si>
  <si>
    <t>HFC#41866</t>
    <phoneticPr fontId="37" type="noConversion"/>
  </si>
  <si>
    <t>49554A0003</t>
    <phoneticPr fontId="37" type="noConversion"/>
  </si>
  <si>
    <t>KOHLS.COM</t>
    <phoneticPr fontId="37" type="noConversion"/>
  </si>
  <si>
    <t>49554A0005</t>
    <phoneticPr fontId="37" type="noConversion"/>
  </si>
  <si>
    <t>49554A0006</t>
    <phoneticPr fontId="37" type="noConversion"/>
  </si>
  <si>
    <t>49554A0004</t>
    <phoneticPr fontId="37" type="noConversion"/>
  </si>
  <si>
    <t>昊天</t>
    <phoneticPr fontId="37" type="noConversion"/>
  </si>
  <si>
    <t>张莉</t>
    <phoneticPr fontId="37" type="noConversion"/>
  </si>
  <si>
    <t>3183</t>
    <phoneticPr fontId="37" type="noConversion"/>
  </si>
  <si>
    <t>03FJ</t>
    <phoneticPr fontId="37" type="noConversion"/>
  </si>
  <si>
    <t>3189</t>
    <phoneticPr fontId="37" type="noConversion"/>
  </si>
  <si>
    <t>HFC#91499</t>
    <phoneticPr fontId="37" type="noConversion"/>
  </si>
  <si>
    <t>92738A0001</t>
    <phoneticPr fontId="37" type="noConversion"/>
  </si>
  <si>
    <t>景润</t>
    <phoneticPr fontId="37" type="noConversion"/>
  </si>
  <si>
    <t>3907</t>
    <phoneticPr fontId="37" type="noConversion"/>
  </si>
  <si>
    <t>ANA3</t>
    <phoneticPr fontId="37" type="noConversion"/>
  </si>
  <si>
    <t>梭织</t>
  </si>
  <si>
    <t>3908</t>
  </si>
  <si>
    <t>3909</t>
  </si>
  <si>
    <t>3916</t>
    <phoneticPr fontId="37" type="noConversion"/>
  </si>
  <si>
    <t>3918</t>
    <phoneticPr fontId="37" type="noConversion"/>
  </si>
  <si>
    <t>BA256-1</t>
    <phoneticPr fontId="37" type="noConversion"/>
  </si>
  <si>
    <t>J2121CAJTZ</t>
    <phoneticPr fontId="37" type="noConversion"/>
  </si>
  <si>
    <t>BA256A-1</t>
    <phoneticPr fontId="37" type="noConversion"/>
  </si>
  <si>
    <t>BA256B-1</t>
    <phoneticPr fontId="37" type="noConversion"/>
  </si>
  <si>
    <t>BA257-1</t>
    <phoneticPr fontId="37" type="noConversion"/>
  </si>
  <si>
    <t>J2121MZ81Z</t>
    <phoneticPr fontId="37" type="noConversion"/>
  </si>
  <si>
    <t>BA257A-1</t>
    <phoneticPr fontId="37" type="noConversion"/>
  </si>
  <si>
    <t>BA258-1</t>
    <phoneticPr fontId="37" type="noConversion"/>
  </si>
  <si>
    <t>J2121MZHRZ</t>
    <phoneticPr fontId="37" type="noConversion"/>
  </si>
  <si>
    <t>BA258A-1</t>
    <phoneticPr fontId="37" type="noConversion"/>
  </si>
  <si>
    <t>BA258B-1</t>
    <phoneticPr fontId="37" type="noConversion"/>
  </si>
  <si>
    <t>BA258EC-1</t>
    <phoneticPr fontId="37" type="noConversion"/>
  </si>
  <si>
    <t>CL153388</t>
  </si>
  <si>
    <t>EJ-B017673-WS/BS</t>
    <phoneticPr fontId="37" type="noConversion"/>
  </si>
  <si>
    <t>014749</t>
    <phoneticPr fontId="37" type="noConversion"/>
  </si>
  <si>
    <t>EMT017673-BS/WS</t>
    <phoneticPr fontId="37" type="noConversion"/>
  </si>
  <si>
    <t>T.J MAXX</t>
    <phoneticPr fontId="37" type="noConversion"/>
  </si>
  <si>
    <t>2016-3-1</t>
    <phoneticPr fontId="37" type="noConversion"/>
  </si>
  <si>
    <t>HFC#1372</t>
    <phoneticPr fontId="37" type="noConversion"/>
  </si>
  <si>
    <t>79632A01</t>
    <phoneticPr fontId="37" type="noConversion"/>
  </si>
  <si>
    <t>HFC#1373</t>
    <phoneticPr fontId="37" type="noConversion"/>
  </si>
  <si>
    <t>HFC#1388</t>
    <phoneticPr fontId="37" type="noConversion"/>
  </si>
  <si>
    <t>49572A</t>
    <phoneticPr fontId="37" type="noConversion"/>
  </si>
  <si>
    <t>HFC#1389</t>
    <phoneticPr fontId="37" type="noConversion"/>
  </si>
  <si>
    <t>HFC#1390</t>
    <phoneticPr fontId="37" type="noConversion"/>
  </si>
  <si>
    <t>2016-7-11</t>
    <phoneticPr fontId="37" type="noConversion"/>
  </si>
  <si>
    <t>HFC#1402</t>
    <phoneticPr fontId="37" type="noConversion"/>
  </si>
  <si>
    <t>22689B</t>
    <phoneticPr fontId="37" type="noConversion"/>
  </si>
  <si>
    <t>P170542</t>
    <phoneticPr fontId="37" type="noConversion"/>
  </si>
  <si>
    <t>NJ36T208M</t>
    <phoneticPr fontId="37" type="noConversion"/>
  </si>
  <si>
    <t>P171070</t>
    <phoneticPr fontId="37" type="noConversion"/>
  </si>
  <si>
    <t>NJ36T300M(ZR9646)</t>
    <phoneticPr fontId="37" type="noConversion"/>
  </si>
  <si>
    <t>P171071</t>
    <phoneticPr fontId="37" type="noConversion"/>
  </si>
  <si>
    <t>美琪</t>
    <phoneticPr fontId="37" type="noConversion"/>
  </si>
  <si>
    <t>0ZMN</t>
    <phoneticPr fontId="37" type="noConversion"/>
  </si>
  <si>
    <t>4365</t>
    <phoneticPr fontId="37" type="noConversion"/>
  </si>
  <si>
    <t>4682</t>
    <phoneticPr fontId="37" type="noConversion"/>
  </si>
  <si>
    <t>BURLINGTON</t>
    <phoneticPr fontId="37" type="noConversion"/>
  </si>
  <si>
    <t>美琪</t>
  </si>
  <si>
    <t>HFC#1367</t>
    <phoneticPr fontId="37" type="noConversion"/>
  </si>
  <si>
    <t>41526A0001</t>
    <phoneticPr fontId="37" type="noConversion"/>
  </si>
  <si>
    <t>41526A0002</t>
    <phoneticPr fontId="37" type="noConversion"/>
  </si>
  <si>
    <t>41526A0003</t>
    <phoneticPr fontId="37" type="noConversion"/>
  </si>
  <si>
    <t>41526A0004</t>
    <phoneticPr fontId="37" type="noConversion"/>
  </si>
  <si>
    <t>P168653</t>
    <phoneticPr fontId="37" type="noConversion"/>
  </si>
  <si>
    <t>XT4060-7461-7383</t>
    <phoneticPr fontId="37" type="noConversion"/>
  </si>
  <si>
    <t>STAGE</t>
    <phoneticPr fontId="37" type="noConversion"/>
  </si>
  <si>
    <t>付连</t>
  </si>
  <si>
    <t>P169893</t>
    <phoneticPr fontId="37" type="noConversion"/>
  </si>
  <si>
    <t>ZQ6161</t>
    <phoneticPr fontId="37" type="noConversion"/>
  </si>
  <si>
    <t>P170314</t>
    <phoneticPr fontId="37" type="noConversion"/>
  </si>
  <si>
    <t>P170320</t>
    <phoneticPr fontId="37" type="noConversion"/>
  </si>
  <si>
    <t>P170321</t>
    <phoneticPr fontId="37" type="noConversion"/>
  </si>
  <si>
    <t>STAGE.COM</t>
    <phoneticPr fontId="37" type="noConversion"/>
  </si>
  <si>
    <t>P170582</t>
    <phoneticPr fontId="37" type="noConversion"/>
  </si>
  <si>
    <t>ZU2979-7878-5427</t>
    <phoneticPr fontId="37" type="noConversion"/>
  </si>
  <si>
    <t>P171444</t>
    <phoneticPr fontId="37" type="noConversion"/>
  </si>
  <si>
    <t>ARMY ECOM</t>
    <phoneticPr fontId="37" type="noConversion"/>
  </si>
  <si>
    <t>P171445</t>
    <phoneticPr fontId="37" type="noConversion"/>
  </si>
  <si>
    <t>ARMY BULK</t>
    <phoneticPr fontId="37" type="noConversion"/>
  </si>
  <si>
    <t>P171446</t>
    <phoneticPr fontId="37" type="noConversion"/>
  </si>
  <si>
    <t>P170945</t>
    <phoneticPr fontId="37" type="noConversion"/>
  </si>
  <si>
    <t>P171604</t>
    <phoneticPr fontId="37" type="noConversion"/>
  </si>
  <si>
    <t>MACYS.COM</t>
    <phoneticPr fontId="37" type="noConversion"/>
  </si>
  <si>
    <t>P171605</t>
    <phoneticPr fontId="37" type="noConversion"/>
  </si>
  <si>
    <t>明月</t>
    <phoneticPr fontId="37" type="noConversion"/>
  </si>
  <si>
    <t>卿春艳</t>
    <phoneticPr fontId="37" type="noConversion"/>
  </si>
  <si>
    <t>12PA29716(G2182)</t>
    <phoneticPr fontId="37" type="noConversion"/>
  </si>
  <si>
    <t>650175</t>
    <phoneticPr fontId="37" type="noConversion"/>
  </si>
  <si>
    <t>欧凯</t>
    <phoneticPr fontId="37" type="noConversion"/>
  </si>
  <si>
    <t>3146</t>
    <phoneticPr fontId="37" type="noConversion"/>
  </si>
  <si>
    <t>0YPB</t>
    <phoneticPr fontId="37" type="noConversion"/>
  </si>
  <si>
    <t>3371</t>
    <phoneticPr fontId="37" type="noConversion"/>
  </si>
  <si>
    <t>3372</t>
    <phoneticPr fontId="37" type="noConversion"/>
  </si>
  <si>
    <t>3147</t>
    <phoneticPr fontId="37" type="noConversion"/>
  </si>
  <si>
    <t>3277</t>
    <phoneticPr fontId="37" type="noConversion"/>
  </si>
  <si>
    <t>0YLT</t>
    <phoneticPr fontId="37" type="noConversion"/>
  </si>
  <si>
    <t>3278</t>
    <phoneticPr fontId="37" type="noConversion"/>
  </si>
  <si>
    <t>0YKB</t>
    <phoneticPr fontId="37" type="noConversion"/>
  </si>
  <si>
    <t>3279</t>
    <phoneticPr fontId="37" type="noConversion"/>
  </si>
  <si>
    <t>3280</t>
    <phoneticPr fontId="37" type="noConversion"/>
  </si>
  <si>
    <t>0YSQ</t>
    <phoneticPr fontId="37" type="noConversion"/>
  </si>
  <si>
    <t>3281</t>
    <phoneticPr fontId="37" type="noConversion"/>
  </si>
  <si>
    <t>3902</t>
    <phoneticPr fontId="37" type="noConversion"/>
  </si>
  <si>
    <t>0428</t>
    <phoneticPr fontId="37" type="noConversion"/>
  </si>
  <si>
    <t>0YVX</t>
    <phoneticPr fontId="37" type="noConversion"/>
  </si>
  <si>
    <t>0441</t>
    <phoneticPr fontId="37" type="noConversion"/>
  </si>
  <si>
    <t>GABRIEL BROTHERS</t>
    <phoneticPr fontId="37" type="noConversion"/>
  </si>
  <si>
    <t>0454</t>
    <phoneticPr fontId="37" type="noConversion"/>
  </si>
  <si>
    <t>MACY.COM</t>
    <phoneticPr fontId="37" type="noConversion"/>
  </si>
  <si>
    <t>BA217-1</t>
    <phoneticPr fontId="37" type="noConversion"/>
  </si>
  <si>
    <t>B3367CABPP-NH</t>
    <phoneticPr fontId="37" type="noConversion"/>
  </si>
  <si>
    <t>TORRID</t>
    <phoneticPr fontId="37" type="noConversion"/>
  </si>
  <si>
    <t>BA217-2</t>
    <phoneticPr fontId="37" type="noConversion"/>
  </si>
  <si>
    <t>BA217A-1</t>
    <phoneticPr fontId="37" type="noConversion"/>
  </si>
  <si>
    <t>BA217A-2</t>
    <phoneticPr fontId="37" type="noConversion"/>
  </si>
  <si>
    <t>BA217B-1</t>
    <phoneticPr fontId="37" type="noConversion"/>
  </si>
  <si>
    <t>BA217C-1</t>
    <phoneticPr fontId="37" type="noConversion"/>
  </si>
  <si>
    <t>BA276-1</t>
    <phoneticPr fontId="37" type="noConversion"/>
  </si>
  <si>
    <t>J7569MZ65G</t>
    <phoneticPr fontId="37" type="noConversion"/>
  </si>
  <si>
    <t>BA276-2</t>
    <phoneticPr fontId="37" type="noConversion"/>
  </si>
  <si>
    <t>BA276-3</t>
    <phoneticPr fontId="37" type="noConversion"/>
  </si>
  <si>
    <t>BA276A-1</t>
    <phoneticPr fontId="37" type="noConversion"/>
  </si>
  <si>
    <t>BA277-1</t>
    <phoneticPr fontId="37" type="noConversion"/>
  </si>
  <si>
    <t>B7569MZ65G</t>
    <phoneticPr fontId="37" type="noConversion"/>
  </si>
  <si>
    <t>BA277-2</t>
    <phoneticPr fontId="37" type="noConversion"/>
  </si>
  <si>
    <t>BA277-3</t>
    <phoneticPr fontId="37" type="noConversion"/>
  </si>
  <si>
    <t>BA277A-1</t>
    <phoneticPr fontId="37" type="noConversion"/>
  </si>
  <si>
    <t>BA289-1</t>
    <phoneticPr fontId="37" type="noConversion"/>
  </si>
  <si>
    <t>J7899CAEUC</t>
    <phoneticPr fontId="37" type="noConversion"/>
  </si>
  <si>
    <t>BA289-2</t>
    <phoneticPr fontId="37" type="noConversion"/>
  </si>
  <si>
    <t>BA289-3</t>
    <phoneticPr fontId="37" type="noConversion"/>
  </si>
  <si>
    <t>BA295-1</t>
    <phoneticPr fontId="37" type="noConversion"/>
  </si>
  <si>
    <t>J9643CBGCC</t>
    <phoneticPr fontId="37" type="noConversion"/>
  </si>
  <si>
    <t>BA295-2</t>
    <phoneticPr fontId="37" type="noConversion"/>
  </si>
  <si>
    <t>BA296-1</t>
    <phoneticPr fontId="37" type="noConversion"/>
  </si>
  <si>
    <t>B9643CBGCC</t>
    <phoneticPr fontId="37" type="noConversion"/>
  </si>
  <si>
    <t>BA296-2</t>
    <phoneticPr fontId="37" type="noConversion"/>
  </si>
  <si>
    <t>CL153387</t>
    <phoneticPr fontId="37" type="noConversion"/>
  </si>
  <si>
    <t>EJ-T019686-WS</t>
    <phoneticPr fontId="37" type="noConversion"/>
  </si>
  <si>
    <t>014743</t>
    <phoneticPr fontId="37" type="noConversion"/>
  </si>
  <si>
    <t>EMT019686-BS/WS</t>
    <phoneticPr fontId="37" type="noConversion"/>
  </si>
  <si>
    <t>ED INC</t>
    <phoneticPr fontId="37" type="noConversion"/>
  </si>
  <si>
    <t>016657</t>
    <phoneticPr fontId="37" type="noConversion"/>
  </si>
  <si>
    <t>HFC#91444</t>
  </si>
  <si>
    <t>25992A0001</t>
    <phoneticPr fontId="37" type="noConversion"/>
  </si>
  <si>
    <t>2-16-204644</t>
    <phoneticPr fontId="37" type="noConversion"/>
  </si>
  <si>
    <t>25992C0001</t>
    <phoneticPr fontId="37" type="noConversion"/>
  </si>
  <si>
    <t>2-16-204645</t>
    <phoneticPr fontId="37" type="noConversion"/>
  </si>
  <si>
    <t>2-16-204642</t>
    <phoneticPr fontId="37" type="noConversion"/>
  </si>
  <si>
    <t>2-16-204643</t>
    <phoneticPr fontId="37" type="noConversion"/>
  </si>
  <si>
    <t>25992B0001</t>
    <phoneticPr fontId="37" type="noConversion"/>
  </si>
  <si>
    <t>7424</t>
    <phoneticPr fontId="37" type="noConversion"/>
  </si>
  <si>
    <t>JB0694K3821</t>
    <phoneticPr fontId="37" type="noConversion"/>
  </si>
  <si>
    <t>7425</t>
    <phoneticPr fontId="37" type="noConversion"/>
  </si>
  <si>
    <t>7613</t>
    <phoneticPr fontId="37" type="noConversion"/>
  </si>
  <si>
    <t>MT2146L9A16</t>
    <phoneticPr fontId="37" type="noConversion"/>
  </si>
  <si>
    <t>9427</t>
    <phoneticPr fontId="37" type="noConversion"/>
  </si>
  <si>
    <t>KT5372S6395</t>
    <phoneticPr fontId="37" type="noConversion"/>
  </si>
  <si>
    <t>MT4704K0A76</t>
    <phoneticPr fontId="37" type="noConversion"/>
  </si>
  <si>
    <t>BA223C</t>
    <phoneticPr fontId="37" type="noConversion"/>
  </si>
  <si>
    <t>BA225-1</t>
    <phoneticPr fontId="37" type="noConversion"/>
  </si>
  <si>
    <t>B7943MMEY</t>
    <phoneticPr fontId="37" type="noConversion"/>
  </si>
  <si>
    <t>2016-2-29</t>
    <phoneticPr fontId="37" type="noConversion"/>
  </si>
  <si>
    <t>BA225-3</t>
    <phoneticPr fontId="37" type="noConversion"/>
  </si>
  <si>
    <t>BA225A-2</t>
    <phoneticPr fontId="37" type="noConversion"/>
  </si>
  <si>
    <t>BA225ATS</t>
    <phoneticPr fontId="37" type="noConversion"/>
  </si>
  <si>
    <t>BA225ATS-04</t>
    <phoneticPr fontId="37" type="noConversion"/>
  </si>
  <si>
    <t>BA225ATSEC-01</t>
    <phoneticPr fontId="37" type="noConversion"/>
  </si>
  <si>
    <t>BA225ATS-02</t>
    <phoneticPr fontId="37" type="noConversion"/>
  </si>
  <si>
    <t>BA225ATS-03</t>
    <phoneticPr fontId="37" type="noConversion"/>
  </si>
  <si>
    <t>BA225ATS-01</t>
    <phoneticPr fontId="37" type="noConversion"/>
  </si>
  <si>
    <t>NORDSTROM</t>
    <phoneticPr fontId="37" type="noConversion"/>
  </si>
  <si>
    <t>润鑫</t>
    <phoneticPr fontId="37" type="noConversion"/>
  </si>
  <si>
    <t>BA228-1</t>
    <phoneticPr fontId="37" type="noConversion"/>
  </si>
  <si>
    <t>J5925MQFR</t>
    <phoneticPr fontId="37" type="noConversion"/>
  </si>
  <si>
    <t>BA228A-1</t>
    <phoneticPr fontId="37" type="noConversion"/>
  </si>
  <si>
    <t>BA228B-1</t>
    <phoneticPr fontId="37" type="noConversion"/>
  </si>
  <si>
    <t>VON MAUR</t>
    <phoneticPr fontId="37" type="noConversion"/>
  </si>
  <si>
    <t>BA236-1</t>
    <phoneticPr fontId="37" type="noConversion"/>
  </si>
  <si>
    <t>J3376MMEY</t>
    <phoneticPr fontId="37" type="noConversion"/>
  </si>
  <si>
    <t>BA236ATS-01</t>
    <phoneticPr fontId="37" type="noConversion"/>
  </si>
  <si>
    <t>BA236ATSBT-1</t>
    <phoneticPr fontId="37" type="noConversion"/>
  </si>
  <si>
    <t>HFC#91429-1</t>
    <phoneticPr fontId="37" type="noConversion"/>
  </si>
  <si>
    <t>92369A0001</t>
    <phoneticPr fontId="37" type="noConversion"/>
  </si>
  <si>
    <t>HFC#91431-1</t>
    <phoneticPr fontId="37" type="noConversion"/>
  </si>
  <si>
    <t>92369C0001</t>
    <phoneticPr fontId="37" type="noConversion"/>
  </si>
  <si>
    <t>HFC#91434</t>
    <phoneticPr fontId="37" type="noConversion"/>
  </si>
  <si>
    <t>21748A0001</t>
    <phoneticPr fontId="37" type="noConversion"/>
  </si>
  <si>
    <t>HFC#91434-1</t>
    <phoneticPr fontId="37" type="noConversion"/>
  </si>
  <si>
    <t>HFC#91440</t>
    <phoneticPr fontId="37" type="noConversion"/>
  </si>
  <si>
    <t>21748C0001</t>
    <phoneticPr fontId="37" type="noConversion"/>
  </si>
  <si>
    <t>HFC#91440-1</t>
    <phoneticPr fontId="37" type="noConversion"/>
  </si>
  <si>
    <t>HFC#91471</t>
    <phoneticPr fontId="37" type="noConversion"/>
  </si>
  <si>
    <t>92394A0001</t>
    <phoneticPr fontId="37" type="noConversion"/>
  </si>
  <si>
    <t>HFC#91471-1</t>
    <phoneticPr fontId="37" type="noConversion"/>
  </si>
  <si>
    <t>泰豪</t>
    <phoneticPr fontId="37" type="noConversion"/>
  </si>
  <si>
    <t>3102</t>
    <phoneticPr fontId="37" type="noConversion"/>
  </si>
  <si>
    <t>AHZ4</t>
    <phoneticPr fontId="37" type="noConversion"/>
  </si>
  <si>
    <t>3103</t>
    <phoneticPr fontId="37" type="noConversion"/>
  </si>
  <si>
    <t>4011</t>
    <phoneticPr fontId="37" type="noConversion"/>
  </si>
  <si>
    <t>AMW3</t>
    <phoneticPr fontId="37" type="noConversion"/>
  </si>
  <si>
    <t>4012</t>
    <phoneticPr fontId="37" type="noConversion"/>
  </si>
  <si>
    <t>4013</t>
    <phoneticPr fontId="37" type="noConversion"/>
  </si>
  <si>
    <t>4014</t>
    <phoneticPr fontId="37" type="noConversion"/>
  </si>
  <si>
    <t>ANU7</t>
    <phoneticPr fontId="37" type="noConversion"/>
  </si>
  <si>
    <t>4015</t>
    <phoneticPr fontId="37" type="noConversion"/>
  </si>
  <si>
    <t>4016</t>
    <phoneticPr fontId="37" type="noConversion"/>
  </si>
  <si>
    <t>9973</t>
  </si>
  <si>
    <t>ALR0</t>
    <phoneticPr fontId="37" type="noConversion"/>
  </si>
  <si>
    <t>9977</t>
  </si>
  <si>
    <t>CL153121</t>
    <phoneticPr fontId="37" type="noConversion"/>
  </si>
  <si>
    <t>KNT020004</t>
    <phoneticPr fontId="37" type="noConversion"/>
  </si>
  <si>
    <t>014129</t>
    <phoneticPr fontId="37" type="noConversion"/>
  </si>
  <si>
    <t>2016-3-16</t>
    <phoneticPr fontId="37" type="noConversion"/>
  </si>
  <si>
    <t>016738</t>
    <phoneticPr fontId="37" type="noConversion"/>
  </si>
  <si>
    <t>JCPT018150</t>
    <phoneticPr fontId="37" type="noConversion"/>
  </si>
  <si>
    <t>016740</t>
    <phoneticPr fontId="37" type="noConversion"/>
  </si>
  <si>
    <t>2016-5-22</t>
    <phoneticPr fontId="37" type="noConversion"/>
  </si>
  <si>
    <t>016741</t>
    <phoneticPr fontId="37" type="noConversion"/>
  </si>
  <si>
    <t>016742</t>
    <phoneticPr fontId="37" type="noConversion"/>
  </si>
  <si>
    <t>016743</t>
    <phoneticPr fontId="37" type="noConversion"/>
  </si>
  <si>
    <t>016799</t>
    <phoneticPr fontId="37" type="noConversion"/>
  </si>
  <si>
    <t>JCPT018150P</t>
    <phoneticPr fontId="37" type="noConversion"/>
  </si>
  <si>
    <t>HFC#20082</t>
    <phoneticPr fontId="37" type="noConversion"/>
  </si>
  <si>
    <t>70093A01</t>
    <phoneticPr fontId="37" type="noConversion"/>
  </si>
  <si>
    <t>HFC#1368</t>
    <phoneticPr fontId="37" type="noConversion"/>
  </si>
  <si>
    <t>79864A01</t>
    <phoneticPr fontId="37" type="noConversion"/>
  </si>
  <si>
    <t>HFC#1369</t>
  </si>
  <si>
    <t>HFC#1386</t>
    <phoneticPr fontId="37" type="noConversion"/>
  </si>
  <si>
    <t>79629A01</t>
    <phoneticPr fontId="37" type="noConversion"/>
  </si>
  <si>
    <t>79629A02</t>
    <phoneticPr fontId="37" type="noConversion"/>
  </si>
  <si>
    <t>79629A03</t>
    <phoneticPr fontId="37" type="noConversion"/>
  </si>
  <si>
    <t>79629A04</t>
    <phoneticPr fontId="37" type="noConversion"/>
  </si>
  <si>
    <t>HFC#1387</t>
    <phoneticPr fontId="37" type="noConversion"/>
  </si>
  <si>
    <t>HFC#70162</t>
    <phoneticPr fontId="37" type="noConversion"/>
  </si>
  <si>
    <t>36023A0001</t>
    <phoneticPr fontId="37" type="noConversion"/>
  </si>
  <si>
    <t>HFC#70162-1</t>
    <phoneticPr fontId="37" type="noConversion"/>
  </si>
  <si>
    <t>HFC#70163</t>
    <phoneticPr fontId="37" type="noConversion"/>
  </si>
  <si>
    <t>HFC#70163-1</t>
    <phoneticPr fontId="37" type="noConversion"/>
  </si>
  <si>
    <t>HFC#70163-2</t>
    <phoneticPr fontId="37" type="noConversion"/>
  </si>
  <si>
    <t>HFC#70164</t>
    <phoneticPr fontId="37" type="noConversion"/>
  </si>
  <si>
    <t>HFC#20092</t>
    <phoneticPr fontId="37" type="noConversion"/>
  </si>
  <si>
    <t>70540A01</t>
    <phoneticPr fontId="37" type="noConversion"/>
  </si>
  <si>
    <t>22956B</t>
    <phoneticPr fontId="37" type="noConversion"/>
  </si>
  <si>
    <t>HFC#20099</t>
    <phoneticPr fontId="37" type="noConversion"/>
  </si>
  <si>
    <t>70563A01</t>
    <phoneticPr fontId="37" type="noConversion"/>
  </si>
  <si>
    <t>P170346</t>
    <phoneticPr fontId="37" type="noConversion"/>
  </si>
  <si>
    <t>NJ26T165M(ZR7770)</t>
    <phoneticPr fontId="37" type="noConversion"/>
  </si>
  <si>
    <t>P170420</t>
    <phoneticPr fontId="37" type="noConversion"/>
  </si>
  <si>
    <t>P170421</t>
    <phoneticPr fontId="37" type="noConversion"/>
  </si>
  <si>
    <t>P170773</t>
    <phoneticPr fontId="37" type="noConversion"/>
  </si>
  <si>
    <t>泰豪/铁源</t>
    <phoneticPr fontId="37" type="noConversion"/>
  </si>
  <si>
    <t>HFC#70175</t>
    <phoneticPr fontId="37" type="noConversion"/>
  </si>
  <si>
    <t>36023C0001</t>
    <phoneticPr fontId="37" type="noConversion"/>
  </si>
  <si>
    <t>HFC#70175-1</t>
    <phoneticPr fontId="37" type="noConversion"/>
  </si>
  <si>
    <t>HFC#70176</t>
    <phoneticPr fontId="37" type="noConversion"/>
  </si>
  <si>
    <t>泰豪/支云塔</t>
    <phoneticPr fontId="37" type="noConversion"/>
  </si>
  <si>
    <t>9969</t>
  </si>
  <si>
    <t>AMD9</t>
    <phoneticPr fontId="37" type="noConversion"/>
  </si>
  <si>
    <t>9971</t>
  </si>
  <si>
    <t>铁源</t>
    <phoneticPr fontId="37" type="noConversion"/>
  </si>
  <si>
    <t>BA231-1</t>
    <phoneticPr fontId="37" type="noConversion"/>
  </si>
  <si>
    <t>J7421MMEYZ</t>
    <phoneticPr fontId="37" type="noConversion"/>
  </si>
  <si>
    <t>BA231A-1</t>
    <phoneticPr fontId="37" type="noConversion"/>
  </si>
  <si>
    <t>BA231EC-1</t>
    <phoneticPr fontId="37" type="noConversion"/>
  </si>
  <si>
    <t>LOVE ON HANGER</t>
    <phoneticPr fontId="37" type="noConversion"/>
  </si>
  <si>
    <t>BA231B-1</t>
    <phoneticPr fontId="37" type="noConversion"/>
  </si>
  <si>
    <t>BA232-1</t>
    <phoneticPr fontId="37" type="noConversion"/>
  </si>
  <si>
    <t>J2077MURNZ</t>
    <phoneticPr fontId="37" type="noConversion"/>
  </si>
  <si>
    <t>BA232EC-1</t>
    <phoneticPr fontId="37" type="noConversion"/>
  </si>
  <si>
    <t>BA232A-1</t>
    <phoneticPr fontId="37" type="noConversion"/>
  </si>
  <si>
    <t>BA233-1</t>
    <phoneticPr fontId="37" type="noConversion"/>
  </si>
  <si>
    <t>BA233EC-1</t>
    <phoneticPr fontId="37" type="noConversion"/>
  </si>
  <si>
    <t>BA233A-1</t>
    <phoneticPr fontId="37" type="noConversion"/>
  </si>
  <si>
    <t>BA235-1</t>
    <phoneticPr fontId="37" type="noConversion"/>
  </si>
  <si>
    <t>B7435MHUX</t>
    <phoneticPr fontId="37" type="noConversion"/>
  </si>
  <si>
    <t>BA235ATS-01</t>
    <phoneticPr fontId="37" type="noConversion"/>
  </si>
  <si>
    <t>BA240-1</t>
    <phoneticPr fontId="37" type="noConversion"/>
  </si>
  <si>
    <t>J3410MA44</t>
    <phoneticPr fontId="37" type="noConversion"/>
  </si>
  <si>
    <t>BA240ATS</t>
    <phoneticPr fontId="37" type="noConversion"/>
  </si>
  <si>
    <t>BA240ATSBT-01</t>
    <phoneticPr fontId="37" type="noConversion"/>
  </si>
  <si>
    <t>BA267-1</t>
    <phoneticPr fontId="37" type="noConversion"/>
  </si>
  <si>
    <t>J2111MB88Z</t>
    <phoneticPr fontId="37" type="noConversion"/>
  </si>
  <si>
    <t>BA267A-1</t>
    <phoneticPr fontId="37" type="noConversion"/>
  </si>
  <si>
    <t>BA267B-1</t>
    <phoneticPr fontId="37" type="noConversion"/>
  </si>
  <si>
    <t>BA267EC-1</t>
    <phoneticPr fontId="37" type="noConversion"/>
  </si>
  <si>
    <t>BA268-1</t>
    <phoneticPr fontId="37" type="noConversion"/>
  </si>
  <si>
    <t>J2111MZ75Z</t>
    <phoneticPr fontId="37" type="noConversion"/>
  </si>
  <si>
    <t>BA268EC-1</t>
    <phoneticPr fontId="37" type="noConversion"/>
  </si>
  <si>
    <t>BA268A-1</t>
    <phoneticPr fontId="37" type="noConversion"/>
  </si>
  <si>
    <t>BA268B-1</t>
    <phoneticPr fontId="37" type="noConversion"/>
  </si>
  <si>
    <t>BA271-1</t>
    <phoneticPr fontId="37" type="noConversion"/>
  </si>
  <si>
    <t>J7569MMEYG</t>
    <phoneticPr fontId="37" type="noConversion"/>
  </si>
  <si>
    <t>BA271-2</t>
    <phoneticPr fontId="37" type="noConversion"/>
  </si>
  <si>
    <t>BA271-3</t>
    <phoneticPr fontId="37" type="noConversion"/>
  </si>
  <si>
    <t>BA271A-1</t>
    <phoneticPr fontId="37" type="noConversion"/>
  </si>
  <si>
    <t>BA272-1</t>
    <phoneticPr fontId="37" type="noConversion"/>
  </si>
  <si>
    <t>B7569MMEYG</t>
    <phoneticPr fontId="37" type="noConversion"/>
  </si>
  <si>
    <t>BA272-2</t>
    <phoneticPr fontId="37" type="noConversion"/>
  </si>
  <si>
    <t>BA272-3</t>
    <phoneticPr fontId="37" type="noConversion"/>
  </si>
  <si>
    <t>BA272A-1</t>
    <phoneticPr fontId="37" type="noConversion"/>
  </si>
  <si>
    <t>BA285-1</t>
    <phoneticPr fontId="37" type="noConversion"/>
  </si>
  <si>
    <t>B8042MMEYP</t>
    <phoneticPr fontId="37" type="noConversion"/>
  </si>
  <si>
    <t>BA285-4</t>
    <phoneticPr fontId="37" type="noConversion"/>
  </si>
  <si>
    <t>BA285A-1</t>
    <phoneticPr fontId="37" type="noConversion"/>
  </si>
  <si>
    <t>BA285A-3</t>
    <phoneticPr fontId="37" type="noConversion"/>
  </si>
  <si>
    <t>BA285B-1</t>
    <phoneticPr fontId="37" type="noConversion"/>
  </si>
  <si>
    <t>BA285C-1</t>
    <phoneticPr fontId="37" type="noConversion"/>
  </si>
  <si>
    <t>BA285ATS</t>
    <phoneticPr fontId="37" type="noConversion"/>
  </si>
  <si>
    <t>BA285ATSEC-01</t>
    <phoneticPr fontId="37" type="noConversion"/>
  </si>
  <si>
    <t>BA286-1</t>
    <phoneticPr fontId="37" type="noConversion"/>
  </si>
  <si>
    <t>J8113MMEYC</t>
    <phoneticPr fontId="37" type="noConversion"/>
  </si>
  <si>
    <t>BA286-2</t>
    <phoneticPr fontId="37" type="noConversion"/>
  </si>
  <si>
    <t>BA286-3</t>
    <phoneticPr fontId="37" type="noConversion"/>
  </si>
  <si>
    <t>BA287-1</t>
    <phoneticPr fontId="37" type="noConversion"/>
  </si>
  <si>
    <t>B8113MMEYC</t>
    <phoneticPr fontId="37" type="noConversion"/>
  </si>
  <si>
    <t>BA287-2</t>
    <phoneticPr fontId="37" type="noConversion"/>
  </si>
  <si>
    <t>BA287-3</t>
    <phoneticPr fontId="37" type="noConversion"/>
  </si>
  <si>
    <t>106038</t>
    <phoneticPr fontId="37" type="noConversion"/>
  </si>
  <si>
    <t>JA83801LGG</t>
    <phoneticPr fontId="37" type="noConversion"/>
  </si>
  <si>
    <t>Kohls Store.</t>
    <phoneticPr fontId="37" type="noConversion"/>
  </si>
  <si>
    <t>同飞</t>
    <phoneticPr fontId="37" type="noConversion"/>
  </si>
  <si>
    <t>BA176-1</t>
    <phoneticPr fontId="37" type="noConversion"/>
  </si>
  <si>
    <t>J7913MVZYG</t>
    <phoneticPr fontId="37" type="noConversion"/>
  </si>
  <si>
    <t>RED CAMEL</t>
    <phoneticPr fontId="37" type="noConversion"/>
  </si>
  <si>
    <t>BA176-3</t>
    <phoneticPr fontId="37" type="noConversion"/>
  </si>
  <si>
    <t>BA176-4</t>
    <phoneticPr fontId="37" type="noConversion"/>
  </si>
  <si>
    <t>BA176A-1</t>
    <phoneticPr fontId="37" type="noConversion"/>
  </si>
  <si>
    <t>BA176EC-1</t>
    <phoneticPr fontId="37" type="noConversion"/>
  </si>
  <si>
    <t>BA178-1</t>
    <phoneticPr fontId="37" type="noConversion"/>
  </si>
  <si>
    <t>J7913MZGUG</t>
    <phoneticPr fontId="37" type="noConversion"/>
  </si>
  <si>
    <t>BA178-2</t>
    <phoneticPr fontId="37" type="noConversion"/>
  </si>
  <si>
    <t>BA178-3</t>
    <phoneticPr fontId="37" type="noConversion"/>
  </si>
  <si>
    <t>BA178A-1</t>
    <phoneticPr fontId="37" type="noConversion"/>
  </si>
  <si>
    <t>同飞</t>
  </si>
  <si>
    <t>BA221-1</t>
    <phoneticPr fontId="37" type="noConversion"/>
  </si>
  <si>
    <t>J1976MSJVC</t>
    <phoneticPr fontId="37" type="noConversion"/>
  </si>
  <si>
    <t>BA221-2</t>
    <phoneticPr fontId="37" type="noConversion"/>
  </si>
  <si>
    <t>BA222-1</t>
    <phoneticPr fontId="37" type="noConversion"/>
  </si>
  <si>
    <t>B1976MSJVC</t>
    <phoneticPr fontId="37" type="noConversion"/>
  </si>
  <si>
    <t>BA222-2</t>
    <phoneticPr fontId="37" type="noConversion"/>
  </si>
  <si>
    <t>BA222-3</t>
    <phoneticPr fontId="37" type="noConversion"/>
  </si>
  <si>
    <t>BA229-1</t>
    <phoneticPr fontId="37" type="noConversion"/>
  </si>
  <si>
    <t>J8072MQFR</t>
    <phoneticPr fontId="37" type="noConversion"/>
  </si>
  <si>
    <t>BA229A-1</t>
    <phoneticPr fontId="37" type="noConversion"/>
  </si>
  <si>
    <t>BA247-1</t>
    <phoneticPr fontId="37" type="noConversion"/>
  </si>
  <si>
    <t>B5651MWQUC</t>
    <phoneticPr fontId="37" type="noConversion"/>
  </si>
  <si>
    <t>BA247-2</t>
  </si>
  <si>
    <t>BA247-3</t>
  </si>
  <si>
    <t>BA248-1</t>
    <phoneticPr fontId="37" type="noConversion"/>
  </si>
  <si>
    <t>J9651MFKJC</t>
    <phoneticPr fontId="37" type="noConversion"/>
  </si>
  <si>
    <t>BA248-2</t>
    <phoneticPr fontId="37" type="noConversion"/>
  </si>
  <si>
    <t>BA249-1</t>
    <phoneticPr fontId="37" type="noConversion"/>
  </si>
  <si>
    <t>B9651MFKJC</t>
    <phoneticPr fontId="37" type="noConversion"/>
  </si>
  <si>
    <t>BA249-2</t>
    <phoneticPr fontId="37" type="noConversion"/>
  </si>
  <si>
    <t>BA254-1</t>
    <phoneticPr fontId="37" type="noConversion"/>
  </si>
  <si>
    <t>J9657MPZLP</t>
    <phoneticPr fontId="37" type="noConversion"/>
  </si>
  <si>
    <t>FRANCESCA'S</t>
    <phoneticPr fontId="37" type="noConversion"/>
  </si>
  <si>
    <t>BA254EC-1</t>
    <phoneticPr fontId="37" type="noConversion"/>
  </si>
  <si>
    <t>BA255-1</t>
    <phoneticPr fontId="37" type="noConversion"/>
  </si>
  <si>
    <t>J9675MQFRP</t>
    <phoneticPr fontId="37" type="noConversion"/>
  </si>
  <si>
    <t>BA250-1</t>
    <phoneticPr fontId="37" type="noConversion"/>
  </si>
  <si>
    <t>J9639CARTC</t>
    <phoneticPr fontId="37" type="noConversion"/>
  </si>
  <si>
    <t>BA250-2</t>
  </si>
  <si>
    <t>BA250A-1</t>
    <phoneticPr fontId="37" type="noConversion"/>
  </si>
  <si>
    <t>BA251-1</t>
    <phoneticPr fontId="37" type="noConversion"/>
  </si>
  <si>
    <t>B9639CARTC</t>
    <phoneticPr fontId="37" type="noConversion"/>
  </si>
  <si>
    <t>BA251-2</t>
    <phoneticPr fontId="37" type="noConversion"/>
  </si>
  <si>
    <t>BA251-3</t>
    <phoneticPr fontId="37" type="noConversion"/>
  </si>
  <si>
    <t>BA269-1</t>
    <phoneticPr fontId="37" type="noConversion"/>
  </si>
  <si>
    <t>J2128CBAEG</t>
    <phoneticPr fontId="37" type="noConversion"/>
  </si>
  <si>
    <t>BA269-2</t>
    <phoneticPr fontId="37" type="noConversion"/>
  </si>
  <si>
    <t>BA269-3</t>
    <phoneticPr fontId="37" type="noConversion"/>
  </si>
  <si>
    <t>BA269A-1</t>
    <phoneticPr fontId="37" type="noConversion"/>
  </si>
  <si>
    <t>BA274-1</t>
    <phoneticPr fontId="37" type="noConversion"/>
  </si>
  <si>
    <t>B2128CBAEG</t>
    <phoneticPr fontId="37" type="noConversion"/>
  </si>
  <si>
    <t>BA274-2</t>
    <phoneticPr fontId="37" type="noConversion"/>
  </si>
  <si>
    <t>BA274A-1</t>
    <phoneticPr fontId="37" type="noConversion"/>
  </si>
  <si>
    <t>BA275-1</t>
    <phoneticPr fontId="37" type="noConversion"/>
  </si>
  <si>
    <t>B8126MUSDG</t>
    <phoneticPr fontId="37" type="noConversion"/>
  </si>
  <si>
    <t>BA275-2</t>
    <phoneticPr fontId="37" type="noConversion"/>
  </si>
  <si>
    <t>BA275A-1</t>
    <phoneticPr fontId="37" type="noConversion"/>
  </si>
  <si>
    <t>BA278-1</t>
    <phoneticPr fontId="37" type="noConversion"/>
  </si>
  <si>
    <t>J5903CBBIG</t>
    <phoneticPr fontId="37" type="noConversion"/>
  </si>
  <si>
    <t>BA278-2</t>
    <phoneticPr fontId="37" type="noConversion"/>
  </si>
  <si>
    <t>BA278-3</t>
    <phoneticPr fontId="37" type="noConversion"/>
  </si>
  <si>
    <t>BA278A-1</t>
    <phoneticPr fontId="37" type="noConversion"/>
  </si>
  <si>
    <t>BA279-1</t>
    <phoneticPr fontId="37" type="noConversion"/>
  </si>
  <si>
    <t>B5903CBBIG</t>
    <phoneticPr fontId="37" type="noConversion"/>
  </si>
  <si>
    <t>BA279-2</t>
    <phoneticPr fontId="37" type="noConversion"/>
  </si>
  <si>
    <t>BA279A-1</t>
    <phoneticPr fontId="37" type="noConversion"/>
  </si>
  <si>
    <t>BA283-1</t>
    <phoneticPr fontId="37" type="noConversion"/>
  </si>
  <si>
    <t>B8126CAIUG</t>
    <phoneticPr fontId="37" type="noConversion"/>
  </si>
  <si>
    <t>BA283-2</t>
    <phoneticPr fontId="37" type="noConversion"/>
  </si>
  <si>
    <t>BA283A-1</t>
    <phoneticPr fontId="37" type="noConversion"/>
  </si>
  <si>
    <t>BA291ATS</t>
    <phoneticPr fontId="37" type="noConversion"/>
  </si>
  <si>
    <t>J5982CAVP</t>
    <phoneticPr fontId="37" type="noConversion"/>
  </si>
  <si>
    <t>BA291ATS-02</t>
    <phoneticPr fontId="37" type="noConversion"/>
  </si>
  <si>
    <t>BA291ATSBT-01</t>
    <phoneticPr fontId="37" type="noConversion"/>
  </si>
  <si>
    <t>BA291ATS-01</t>
    <phoneticPr fontId="37" type="noConversion"/>
  </si>
  <si>
    <t>BA292ATS</t>
    <phoneticPr fontId="37" type="noConversion"/>
  </si>
  <si>
    <t>J5982MPZL</t>
    <phoneticPr fontId="37" type="noConversion"/>
  </si>
  <si>
    <t>BA292ATSBT-01</t>
    <phoneticPr fontId="37" type="noConversion"/>
  </si>
  <si>
    <t>HFC#8625</t>
    <phoneticPr fontId="37" type="noConversion"/>
  </si>
  <si>
    <t>79482A01</t>
    <phoneticPr fontId="37" type="noConversion"/>
  </si>
  <si>
    <t>AMERICAN RAG</t>
    <phoneticPr fontId="37" type="noConversion"/>
  </si>
  <si>
    <t>HFC#8625-1</t>
    <phoneticPr fontId="37" type="noConversion"/>
  </si>
  <si>
    <t>HFC#8625-2</t>
    <phoneticPr fontId="37" type="noConversion"/>
  </si>
  <si>
    <t>HFC#91489</t>
    <phoneticPr fontId="37" type="noConversion"/>
  </si>
  <si>
    <t>92649A0001</t>
    <phoneticPr fontId="37" type="noConversion"/>
  </si>
  <si>
    <t>ALFANI</t>
    <phoneticPr fontId="37" type="noConversion"/>
  </si>
  <si>
    <t>HFC#91489-1</t>
    <phoneticPr fontId="37" type="noConversion"/>
  </si>
  <si>
    <t>P170446</t>
    <phoneticPr fontId="37" type="noConversion"/>
  </si>
  <si>
    <t>2016-3-20</t>
    <phoneticPr fontId="37" type="noConversion"/>
  </si>
  <si>
    <t>P170546</t>
    <phoneticPr fontId="37" type="noConversion"/>
  </si>
  <si>
    <t>ZT4977-7980(ZT4976-7283)</t>
    <phoneticPr fontId="37" type="noConversion"/>
  </si>
  <si>
    <t>P170713</t>
    <phoneticPr fontId="37" type="noConversion"/>
  </si>
  <si>
    <t>ZT4977-7980-RBW</t>
    <phoneticPr fontId="37" type="noConversion"/>
  </si>
  <si>
    <t>RAINBOW</t>
    <phoneticPr fontId="37" type="noConversion"/>
  </si>
  <si>
    <t>P170570</t>
    <phoneticPr fontId="37" type="noConversion"/>
  </si>
  <si>
    <t>XV1060-6973</t>
    <phoneticPr fontId="37" type="noConversion"/>
  </si>
  <si>
    <t>P170571</t>
    <phoneticPr fontId="37" type="noConversion"/>
  </si>
  <si>
    <t>LV1060-6973</t>
    <phoneticPr fontId="37" type="noConversion"/>
  </si>
  <si>
    <t>P171091</t>
    <phoneticPr fontId="37" type="noConversion"/>
  </si>
  <si>
    <t>XV1060-6973-MJ</t>
    <phoneticPr fontId="37" type="noConversion"/>
  </si>
  <si>
    <t>MEIJER</t>
    <phoneticPr fontId="37" type="noConversion"/>
  </si>
  <si>
    <t>同飞/支云塔</t>
    <phoneticPr fontId="37" type="noConversion"/>
  </si>
  <si>
    <t>P171510</t>
    <phoneticPr fontId="37" type="noConversion"/>
  </si>
  <si>
    <r>
      <t>ZT8935-8546</t>
    </r>
    <r>
      <rPr>
        <sz val="11"/>
        <color rgb="FF000000"/>
        <rFont val="宋体"/>
        <family val="3"/>
        <charset val="134"/>
        <scheme val="minor"/>
      </rPr>
      <t>，</t>
    </r>
    <r>
      <rPr>
        <sz val="11"/>
        <color rgb="FF000000"/>
        <rFont val="Courier New"/>
        <family val="3"/>
      </rPr>
      <t>8547</t>
    </r>
    <phoneticPr fontId="37" type="noConversion"/>
  </si>
  <si>
    <t>P171526</t>
    <phoneticPr fontId="37" type="noConversion"/>
  </si>
  <si>
    <t>P171527</t>
    <phoneticPr fontId="37" type="noConversion"/>
  </si>
  <si>
    <t>P171573</t>
    <phoneticPr fontId="37" type="noConversion"/>
  </si>
  <si>
    <t>P171576</t>
    <phoneticPr fontId="37" type="noConversion"/>
  </si>
  <si>
    <t>P171577</t>
    <phoneticPr fontId="37" type="noConversion"/>
  </si>
  <si>
    <t>P171578</t>
    <phoneticPr fontId="37" type="noConversion"/>
  </si>
  <si>
    <t>P171579</t>
    <phoneticPr fontId="37" type="noConversion"/>
  </si>
  <si>
    <t>P171509</t>
    <phoneticPr fontId="37" type="noConversion"/>
  </si>
  <si>
    <t>ZT8935-8569</t>
    <phoneticPr fontId="37" type="noConversion"/>
  </si>
  <si>
    <t>P171523</t>
    <phoneticPr fontId="37" type="noConversion"/>
  </si>
  <si>
    <t>P171525</t>
    <phoneticPr fontId="37" type="noConversion"/>
  </si>
  <si>
    <t>P171568</t>
    <phoneticPr fontId="37" type="noConversion"/>
  </si>
  <si>
    <t>P171569</t>
    <phoneticPr fontId="37" type="noConversion"/>
  </si>
  <si>
    <t>P171570</t>
    <phoneticPr fontId="37" type="noConversion"/>
  </si>
  <si>
    <t>P171571</t>
    <phoneticPr fontId="37" type="noConversion"/>
  </si>
  <si>
    <t>P171572</t>
    <phoneticPr fontId="37" type="noConversion"/>
  </si>
  <si>
    <t>唯路易</t>
    <phoneticPr fontId="37" type="noConversion"/>
  </si>
  <si>
    <t>3215</t>
    <phoneticPr fontId="37" type="noConversion"/>
  </si>
  <si>
    <t>0XTH</t>
    <phoneticPr fontId="37" type="noConversion"/>
  </si>
  <si>
    <t>3598</t>
    <phoneticPr fontId="37" type="noConversion"/>
  </si>
  <si>
    <t>0ZBG</t>
    <phoneticPr fontId="37" type="noConversion"/>
  </si>
  <si>
    <t>3614</t>
    <phoneticPr fontId="37" type="noConversion"/>
  </si>
  <si>
    <t>P169925</t>
    <phoneticPr fontId="37" type="noConversion"/>
  </si>
  <si>
    <t>NJ26T150M</t>
    <phoneticPr fontId="37" type="noConversion"/>
  </si>
  <si>
    <t>24683/009</t>
  </si>
  <si>
    <t>260</t>
    <phoneticPr fontId="37" type="noConversion"/>
  </si>
  <si>
    <t>2016-3-11</t>
    <phoneticPr fontId="37" type="noConversion"/>
  </si>
  <si>
    <t>24683/010</t>
  </si>
  <si>
    <t>CL160438(200)</t>
  </si>
  <si>
    <t>YOUTHSS</t>
    <phoneticPr fontId="37" type="noConversion"/>
  </si>
  <si>
    <t>CL160439(200)</t>
  </si>
  <si>
    <t>CL160440(200)</t>
  </si>
  <si>
    <t>ADULTSS</t>
    <phoneticPr fontId="37" type="noConversion"/>
  </si>
  <si>
    <t>CL160441(200)</t>
  </si>
  <si>
    <t>炜雅娜</t>
    <phoneticPr fontId="37" type="noConversion"/>
  </si>
  <si>
    <t>BA299-1</t>
    <phoneticPr fontId="37" type="noConversion"/>
  </si>
  <si>
    <t>B1502MMEY</t>
    <phoneticPr fontId="37" type="noConversion"/>
  </si>
  <si>
    <t>BA299A-1</t>
    <phoneticPr fontId="37" type="noConversion"/>
  </si>
  <si>
    <t>BA299ATS</t>
    <phoneticPr fontId="37" type="noConversion"/>
  </si>
  <si>
    <t>炜雅娜</t>
  </si>
  <si>
    <t>1-16-1699</t>
    <phoneticPr fontId="37" type="noConversion"/>
  </si>
  <si>
    <t>15024A01</t>
    <phoneticPr fontId="37" type="noConversion"/>
  </si>
  <si>
    <t>2016-5-30</t>
    <phoneticPr fontId="37" type="noConversion"/>
  </si>
  <si>
    <t>HFC#70143-1</t>
    <phoneticPr fontId="37" type="noConversion"/>
  </si>
  <si>
    <t>HFC#70144</t>
    <phoneticPr fontId="37" type="noConversion"/>
  </si>
  <si>
    <t>炜雅娜</t>
    <phoneticPr fontId="61" type="noConversion"/>
  </si>
  <si>
    <t>1-16-1707</t>
    <phoneticPr fontId="37" type="noConversion"/>
  </si>
  <si>
    <t>8334</t>
    <phoneticPr fontId="37" type="noConversion"/>
  </si>
  <si>
    <t>MT4893W4983R</t>
    <phoneticPr fontId="37" type="noConversion"/>
  </si>
  <si>
    <t>8600</t>
    <phoneticPr fontId="37" type="noConversion"/>
  </si>
  <si>
    <t>依尚</t>
    <phoneticPr fontId="37" type="noConversion"/>
  </si>
  <si>
    <t>3114</t>
    <phoneticPr fontId="37" type="noConversion"/>
  </si>
  <si>
    <t>03JX</t>
    <phoneticPr fontId="37" type="noConversion"/>
  </si>
  <si>
    <t>3660</t>
    <phoneticPr fontId="37" type="noConversion"/>
  </si>
  <si>
    <t>3663</t>
    <phoneticPr fontId="37" type="noConversion"/>
  </si>
  <si>
    <t>BA226-1</t>
    <phoneticPr fontId="37" type="noConversion"/>
  </si>
  <si>
    <t>J1744MXQUP</t>
    <phoneticPr fontId="37" type="noConversion"/>
  </si>
  <si>
    <t>BA226EC-1</t>
    <phoneticPr fontId="37" type="noConversion"/>
  </si>
  <si>
    <t>BA227-1</t>
    <phoneticPr fontId="37" type="noConversion"/>
  </si>
  <si>
    <t>J3404MA23P</t>
    <phoneticPr fontId="37" type="noConversion"/>
  </si>
  <si>
    <t>BA280-1</t>
    <phoneticPr fontId="37" type="noConversion"/>
  </si>
  <si>
    <t>B7869MYST</t>
    <phoneticPr fontId="37" type="noConversion"/>
  </si>
  <si>
    <t>BA280ATS-02</t>
    <phoneticPr fontId="37" type="noConversion"/>
  </si>
  <si>
    <t>BA280ATS-01</t>
    <phoneticPr fontId="37" type="noConversion"/>
  </si>
  <si>
    <t>HFC#8595</t>
    <phoneticPr fontId="37" type="noConversion"/>
  </si>
  <si>
    <t>72483A01</t>
    <phoneticPr fontId="37" type="noConversion"/>
  </si>
  <si>
    <t>HFC#30536</t>
    <phoneticPr fontId="37" type="noConversion"/>
  </si>
  <si>
    <t>105737</t>
    <phoneticPr fontId="37" type="noConversion"/>
  </si>
  <si>
    <t>S3651D01CYCK</t>
    <phoneticPr fontId="37" type="noConversion"/>
  </si>
  <si>
    <t>PROJECTIONS</t>
    <phoneticPr fontId="37" type="noConversion"/>
  </si>
  <si>
    <t>依饰杰</t>
    <phoneticPr fontId="37" type="noConversion"/>
  </si>
  <si>
    <t>2930</t>
    <phoneticPr fontId="37" type="noConversion"/>
  </si>
  <si>
    <t>ADH2</t>
    <phoneticPr fontId="37" type="noConversion"/>
  </si>
  <si>
    <t>3685</t>
    <phoneticPr fontId="37" type="noConversion"/>
  </si>
  <si>
    <t>AJV8</t>
    <phoneticPr fontId="37" type="noConversion"/>
  </si>
  <si>
    <t>3694</t>
    <phoneticPr fontId="37" type="noConversion"/>
  </si>
  <si>
    <t>3697</t>
    <phoneticPr fontId="37" type="noConversion"/>
  </si>
  <si>
    <t>ALG0</t>
    <phoneticPr fontId="37" type="noConversion"/>
  </si>
  <si>
    <t>3739</t>
  </si>
  <si>
    <t>ALB6</t>
    <phoneticPr fontId="37" type="noConversion"/>
  </si>
  <si>
    <t>3740</t>
  </si>
  <si>
    <t>3747</t>
  </si>
  <si>
    <t>3811</t>
    <phoneticPr fontId="37" type="noConversion"/>
  </si>
  <si>
    <t>AMC8</t>
    <phoneticPr fontId="37" type="noConversion"/>
  </si>
  <si>
    <t>3812</t>
  </si>
  <si>
    <t>3813</t>
  </si>
  <si>
    <t>3815</t>
  </si>
  <si>
    <t>3816</t>
  </si>
  <si>
    <t>3817</t>
  </si>
  <si>
    <t>HFC#1358</t>
  </si>
  <si>
    <t>50617F01</t>
    <phoneticPr fontId="37" type="noConversion"/>
  </si>
  <si>
    <t>P170086</t>
    <phoneticPr fontId="37" type="noConversion"/>
  </si>
  <si>
    <t>NJ26T370M</t>
    <phoneticPr fontId="37" type="noConversion"/>
  </si>
  <si>
    <t>P170087</t>
    <phoneticPr fontId="37" type="noConversion"/>
  </si>
  <si>
    <t>P169908</t>
    <phoneticPr fontId="37" type="noConversion"/>
  </si>
  <si>
    <t>NJ26T162M</t>
    <phoneticPr fontId="37" type="noConversion"/>
  </si>
  <si>
    <t>P169910</t>
    <phoneticPr fontId="37" type="noConversion"/>
  </si>
  <si>
    <t>依饰杰/忆莱/高梵</t>
    <phoneticPr fontId="61" type="noConversion"/>
  </si>
  <si>
    <t>P170090</t>
    <phoneticPr fontId="37" type="noConversion"/>
  </si>
  <si>
    <t>NJ26T182M</t>
    <phoneticPr fontId="37" type="noConversion"/>
  </si>
  <si>
    <t>依饰杰/忆莱/高梵</t>
  </si>
  <si>
    <t>P170091</t>
    <phoneticPr fontId="37" type="noConversion"/>
  </si>
  <si>
    <t>P170092</t>
    <phoneticPr fontId="37" type="noConversion"/>
  </si>
  <si>
    <t>忆莱</t>
  </si>
  <si>
    <t>BA230-1</t>
    <phoneticPr fontId="37" type="noConversion"/>
  </si>
  <si>
    <t>J2027MNP0Z</t>
    <phoneticPr fontId="37" type="noConversion"/>
  </si>
  <si>
    <t>BA230A-1</t>
    <phoneticPr fontId="37" type="noConversion"/>
  </si>
  <si>
    <t>BA230EC-1</t>
    <phoneticPr fontId="37" type="noConversion"/>
  </si>
  <si>
    <t>忆莱</t>
    <phoneticPr fontId="37" type="noConversion"/>
  </si>
  <si>
    <t>唐琼茜</t>
  </si>
  <si>
    <t>BA237-1</t>
    <phoneticPr fontId="37" type="noConversion"/>
  </si>
  <si>
    <t>BA237ATS</t>
    <phoneticPr fontId="37" type="noConversion"/>
  </si>
  <si>
    <t>BA237ATS-02</t>
    <phoneticPr fontId="37" type="noConversion"/>
  </si>
  <si>
    <t>BA237ATS-01</t>
    <phoneticPr fontId="37" type="noConversion"/>
  </si>
  <si>
    <t>BA237ATSEC-01</t>
    <phoneticPr fontId="37" type="noConversion"/>
  </si>
  <si>
    <t>BA262-1</t>
    <phoneticPr fontId="37" type="noConversion"/>
  </si>
  <si>
    <t>J8056MYUSZ</t>
    <phoneticPr fontId="37" type="noConversion"/>
  </si>
  <si>
    <t>BA262A-1</t>
    <phoneticPr fontId="37" type="noConversion"/>
  </si>
  <si>
    <t>BA262EC-1</t>
    <phoneticPr fontId="37" type="noConversion"/>
  </si>
  <si>
    <t>BA263-1</t>
    <phoneticPr fontId="37" type="noConversion"/>
  </si>
  <si>
    <t>J8056MZ84Z</t>
    <phoneticPr fontId="37" type="noConversion"/>
  </si>
  <si>
    <t>BA263A-1</t>
    <phoneticPr fontId="37" type="noConversion"/>
  </si>
  <si>
    <t>BA263EC-1</t>
    <phoneticPr fontId="37" type="noConversion"/>
  </si>
  <si>
    <t>BA273-1</t>
    <phoneticPr fontId="37" type="noConversion"/>
  </si>
  <si>
    <t>B7881MMEYG</t>
    <phoneticPr fontId="37" type="noConversion"/>
  </si>
  <si>
    <t>BA273-2</t>
    <phoneticPr fontId="37" type="noConversion"/>
  </si>
  <si>
    <t>BA273A-1</t>
    <phoneticPr fontId="37" type="noConversion"/>
  </si>
  <si>
    <t>BA281ATS</t>
    <phoneticPr fontId="37" type="noConversion"/>
  </si>
  <si>
    <t>B7869CAET</t>
    <phoneticPr fontId="37" type="noConversion"/>
  </si>
  <si>
    <t>BA281ATS-01</t>
    <phoneticPr fontId="37" type="noConversion"/>
  </si>
  <si>
    <t>7858</t>
    <phoneticPr fontId="37" type="noConversion"/>
  </si>
  <si>
    <t>MT4731W4932</t>
    <phoneticPr fontId="37" type="noConversion"/>
  </si>
  <si>
    <t>2016-3-27</t>
  </si>
  <si>
    <t>7854</t>
    <phoneticPr fontId="37" type="noConversion"/>
  </si>
  <si>
    <t>8017</t>
    <phoneticPr fontId="37" type="noConversion"/>
  </si>
  <si>
    <t>XT4731W4358R</t>
    <phoneticPr fontId="37" type="noConversion"/>
  </si>
  <si>
    <t>忆莱/云英</t>
    <phoneticPr fontId="37" type="noConversion"/>
  </si>
  <si>
    <t>HFC#70133</t>
    <phoneticPr fontId="37" type="noConversion"/>
  </si>
  <si>
    <t>14970A01</t>
    <phoneticPr fontId="37" type="noConversion"/>
  </si>
  <si>
    <t>14896A01</t>
    <phoneticPr fontId="37" type="noConversion"/>
  </si>
  <si>
    <t>HFC#70133-1</t>
    <phoneticPr fontId="37" type="noConversion"/>
  </si>
  <si>
    <t>云英</t>
    <phoneticPr fontId="37" type="noConversion"/>
  </si>
  <si>
    <t>BA246-1</t>
    <phoneticPr fontId="37" type="noConversion"/>
  </si>
  <si>
    <t>J5651MWQUC</t>
    <phoneticPr fontId="37" type="noConversion"/>
  </si>
  <si>
    <t>BA246-2</t>
    <phoneticPr fontId="37" type="noConversion"/>
  </si>
  <si>
    <t>BA246A-1</t>
    <phoneticPr fontId="37" type="noConversion"/>
  </si>
  <si>
    <t>BA252-1</t>
    <phoneticPr fontId="37" type="noConversion"/>
  </si>
  <si>
    <t>J9652MFKJC</t>
    <phoneticPr fontId="37" type="noConversion"/>
  </si>
  <si>
    <t>BA252-2</t>
    <phoneticPr fontId="37" type="noConversion"/>
  </si>
  <si>
    <t>BA252A-1</t>
    <phoneticPr fontId="37" type="noConversion"/>
  </si>
  <si>
    <t>BA253-1</t>
    <phoneticPr fontId="37" type="noConversion"/>
  </si>
  <si>
    <t>B9652MFKJC</t>
    <phoneticPr fontId="37" type="noConversion"/>
  </si>
  <si>
    <t>BA253-2</t>
    <phoneticPr fontId="37" type="noConversion"/>
  </si>
  <si>
    <t>BA253-3</t>
    <phoneticPr fontId="37" type="noConversion"/>
  </si>
  <si>
    <t>BA270-1</t>
    <phoneticPr fontId="37" type="noConversion"/>
  </si>
  <si>
    <t>J8126MUSDG</t>
    <phoneticPr fontId="37" type="noConversion"/>
  </si>
  <si>
    <t>2016-5-25</t>
    <phoneticPr fontId="37" type="noConversion"/>
  </si>
  <si>
    <t>BA270-2</t>
    <phoneticPr fontId="37" type="noConversion"/>
  </si>
  <si>
    <t>BA270-3</t>
    <phoneticPr fontId="37" type="noConversion"/>
  </si>
  <si>
    <t>BA270A-1</t>
    <phoneticPr fontId="37" type="noConversion"/>
  </si>
  <si>
    <t>BA282-1</t>
    <phoneticPr fontId="37" type="noConversion"/>
  </si>
  <si>
    <t>B5759MZIXP</t>
    <phoneticPr fontId="37" type="noConversion"/>
  </si>
  <si>
    <t>BA282-2</t>
    <phoneticPr fontId="37" type="noConversion"/>
  </si>
  <si>
    <t>BA282A-1</t>
    <phoneticPr fontId="37" type="noConversion"/>
  </si>
  <si>
    <t>BA282A-2</t>
    <phoneticPr fontId="37" type="noConversion"/>
  </si>
  <si>
    <t>BA282B-1</t>
    <phoneticPr fontId="37" type="noConversion"/>
  </si>
  <si>
    <t>BA282C-1</t>
    <phoneticPr fontId="37" type="noConversion"/>
  </si>
  <si>
    <t>HFC#91445</t>
  </si>
  <si>
    <t>21369A0001</t>
    <phoneticPr fontId="37" type="noConversion"/>
  </si>
  <si>
    <t>HFC#91445-1</t>
    <phoneticPr fontId="37" type="noConversion"/>
  </si>
  <si>
    <t>HFC#91449</t>
    <phoneticPr fontId="37" type="noConversion"/>
  </si>
  <si>
    <t>21369C0001</t>
    <phoneticPr fontId="37" type="noConversion"/>
  </si>
  <si>
    <t>HFC#91449-1</t>
    <phoneticPr fontId="37" type="noConversion"/>
  </si>
  <si>
    <t>HFC#30585</t>
    <phoneticPr fontId="37" type="noConversion"/>
  </si>
  <si>
    <t>41841A0001</t>
    <phoneticPr fontId="37" type="noConversion"/>
  </si>
  <si>
    <t>HFC#30585-1</t>
    <phoneticPr fontId="37" type="noConversion"/>
  </si>
  <si>
    <t>HFC#30585-2</t>
    <phoneticPr fontId="37" type="noConversion"/>
  </si>
  <si>
    <t>P170586</t>
    <phoneticPr fontId="37" type="noConversion"/>
  </si>
  <si>
    <t>AT1716</t>
    <phoneticPr fontId="37" type="noConversion"/>
  </si>
  <si>
    <t>支云塔</t>
    <phoneticPr fontId="37" type="noConversion"/>
  </si>
  <si>
    <t>BA288-2</t>
    <phoneticPr fontId="37" type="noConversion"/>
  </si>
  <si>
    <t>J7443MSOSP</t>
    <phoneticPr fontId="37" type="noConversion"/>
  </si>
  <si>
    <t>BA288-1</t>
    <phoneticPr fontId="37" type="noConversion"/>
  </si>
  <si>
    <t>016879</t>
    <phoneticPr fontId="37" type="noConversion"/>
  </si>
  <si>
    <t>BFTK1677</t>
    <phoneticPr fontId="37" type="noConversion"/>
  </si>
  <si>
    <t>BFTK1677S</t>
    <phoneticPr fontId="37" type="noConversion"/>
  </si>
  <si>
    <t>016880</t>
    <phoneticPr fontId="37" type="noConversion"/>
  </si>
  <si>
    <t>HFC#70120</t>
    <phoneticPr fontId="37" type="noConversion"/>
  </si>
  <si>
    <t>32059A0001</t>
    <phoneticPr fontId="37" type="noConversion"/>
  </si>
  <si>
    <t>HFC#70120-1</t>
    <phoneticPr fontId="37" type="noConversion"/>
  </si>
  <si>
    <t>HFC#70120-2</t>
  </si>
  <si>
    <t>HFC#70121</t>
    <phoneticPr fontId="37" type="noConversion"/>
  </si>
  <si>
    <t>HFC#8628</t>
    <phoneticPr fontId="37" type="noConversion"/>
  </si>
  <si>
    <t>73384B01</t>
    <phoneticPr fontId="37" type="noConversion"/>
  </si>
  <si>
    <t>HFC#8628-1</t>
    <phoneticPr fontId="37" type="noConversion"/>
  </si>
  <si>
    <t>P170605</t>
    <phoneticPr fontId="37" type="noConversion"/>
  </si>
  <si>
    <t>XT1007</t>
    <phoneticPr fontId="37" type="noConversion"/>
  </si>
  <si>
    <t>P170794</t>
    <phoneticPr fontId="37" type="noConversion"/>
  </si>
  <si>
    <t>NJ36T296M(ZQ6162-DXXX-7497-1916)</t>
    <phoneticPr fontId="37" type="noConversion"/>
  </si>
  <si>
    <t>P170846</t>
    <phoneticPr fontId="37" type="noConversion"/>
  </si>
  <si>
    <t>P170847</t>
  </si>
  <si>
    <t>P171044</t>
    <phoneticPr fontId="37" type="noConversion"/>
  </si>
  <si>
    <t>XT1007-8292-0014</t>
    <phoneticPr fontId="37" type="noConversion"/>
  </si>
  <si>
    <t>P171094</t>
    <phoneticPr fontId="37" type="noConversion"/>
  </si>
  <si>
    <t>XT1007-8248-0014-MJ</t>
    <phoneticPr fontId="37" type="noConversion"/>
  </si>
  <si>
    <t>P171207</t>
    <phoneticPr fontId="37" type="noConversion"/>
  </si>
  <si>
    <t>LT1007-8247-0014</t>
    <phoneticPr fontId="37" type="noConversion"/>
  </si>
  <si>
    <t>100-00019749</t>
    <phoneticPr fontId="37" type="noConversion"/>
  </si>
  <si>
    <t>J5629Z47</t>
    <phoneticPr fontId="37" type="noConversion"/>
  </si>
  <si>
    <t>OPENLINE</t>
    <phoneticPr fontId="37" type="noConversion"/>
  </si>
  <si>
    <t>100-00019746</t>
    <phoneticPr fontId="37" type="noConversion"/>
  </si>
  <si>
    <t>BONTON</t>
    <phoneticPr fontId="37" type="noConversion"/>
  </si>
  <si>
    <t>BONTON.COM</t>
    <phoneticPr fontId="37" type="noConversion"/>
  </si>
  <si>
    <t>100-00019751</t>
    <phoneticPr fontId="37" type="noConversion"/>
  </si>
  <si>
    <t>JV5752Z47</t>
    <phoneticPr fontId="37" type="noConversion"/>
  </si>
  <si>
    <t>10000020524</t>
    <phoneticPr fontId="37" type="noConversion"/>
  </si>
  <si>
    <t>NY5629538</t>
    <phoneticPr fontId="37" type="noConversion"/>
  </si>
  <si>
    <t>10000020525</t>
    <phoneticPr fontId="37" type="noConversion"/>
  </si>
  <si>
    <t>NY5629Z47</t>
    <phoneticPr fontId="37" type="noConversion"/>
  </si>
  <si>
    <t>10000020526</t>
    <phoneticPr fontId="37" type="noConversion"/>
  </si>
  <si>
    <t>NY5788GNL</t>
    <phoneticPr fontId="37" type="noConversion"/>
  </si>
  <si>
    <t>10000020527</t>
    <phoneticPr fontId="37" type="noConversion"/>
  </si>
  <si>
    <t>10000020528</t>
    <phoneticPr fontId="37" type="noConversion"/>
  </si>
  <si>
    <t>NY5789B36</t>
    <phoneticPr fontId="37" type="noConversion"/>
  </si>
  <si>
    <t>10000020529</t>
    <phoneticPr fontId="37" type="noConversion"/>
  </si>
  <si>
    <t>NY5789Z77</t>
    <phoneticPr fontId="37" type="noConversion"/>
  </si>
  <si>
    <t>10000020555</t>
    <phoneticPr fontId="37" type="noConversion"/>
  </si>
  <si>
    <t>GORDMANS</t>
    <phoneticPr fontId="37" type="noConversion"/>
  </si>
  <si>
    <t>10000020556</t>
    <phoneticPr fontId="37" type="noConversion"/>
  </si>
  <si>
    <t>J5629538</t>
    <phoneticPr fontId="37" type="noConversion"/>
  </si>
  <si>
    <t>10000020643</t>
    <phoneticPr fontId="37" type="noConversion"/>
  </si>
  <si>
    <t>N5629Z47</t>
    <phoneticPr fontId="37" type="noConversion"/>
  </si>
  <si>
    <t>BEALLS</t>
    <phoneticPr fontId="37" type="noConversion"/>
  </si>
  <si>
    <t>N5629538</t>
    <phoneticPr fontId="37" type="noConversion"/>
  </si>
  <si>
    <t>N5788GNL</t>
    <phoneticPr fontId="37" type="noConversion"/>
  </si>
  <si>
    <t>10000020652</t>
    <phoneticPr fontId="37" type="noConversion"/>
  </si>
  <si>
    <t>Bovscov</t>
    <phoneticPr fontId="37" type="noConversion"/>
  </si>
  <si>
    <t>10000020653</t>
    <phoneticPr fontId="37" type="noConversion"/>
  </si>
  <si>
    <t>10000020654</t>
    <phoneticPr fontId="37" type="noConversion"/>
  </si>
  <si>
    <t>10000020655</t>
    <phoneticPr fontId="37" type="noConversion"/>
  </si>
  <si>
    <t>J5789Z77</t>
    <phoneticPr fontId="37" type="noConversion"/>
  </si>
  <si>
    <t>6000355</t>
    <phoneticPr fontId="37" type="noConversion"/>
  </si>
  <si>
    <t>M3503960S</t>
    <phoneticPr fontId="37" type="noConversion"/>
  </si>
  <si>
    <t>6000360</t>
    <phoneticPr fontId="37" type="noConversion"/>
  </si>
  <si>
    <t>M3663960S</t>
    <phoneticPr fontId="37" type="noConversion"/>
  </si>
  <si>
    <t>6000367</t>
    <phoneticPr fontId="37" type="noConversion"/>
  </si>
  <si>
    <t>M4013960S</t>
    <phoneticPr fontId="37" type="noConversion"/>
  </si>
  <si>
    <t>9723</t>
    <phoneticPr fontId="37" type="noConversion"/>
  </si>
  <si>
    <t>JB0613K3708</t>
    <phoneticPr fontId="37" type="noConversion"/>
  </si>
  <si>
    <t>2016-6-17</t>
    <phoneticPr fontId="37" type="noConversion"/>
  </si>
  <si>
    <t>支云塔/百利达</t>
    <phoneticPr fontId="37" type="noConversion"/>
  </si>
  <si>
    <t>P170158</t>
    <phoneticPr fontId="37" type="noConversion"/>
  </si>
  <si>
    <t>NJ26T145M</t>
    <phoneticPr fontId="37" type="noConversion"/>
  </si>
  <si>
    <t>P170159</t>
    <phoneticPr fontId="37" type="noConversion"/>
  </si>
  <si>
    <t>3753</t>
  </si>
  <si>
    <t>AHM4</t>
    <phoneticPr fontId="37" type="noConversion"/>
  </si>
  <si>
    <t>3752</t>
  </si>
  <si>
    <t>0008</t>
    <phoneticPr fontId="37" type="noConversion"/>
  </si>
  <si>
    <t>0013</t>
  </si>
  <si>
    <t>0017</t>
  </si>
  <si>
    <t>9910</t>
  </si>
  <si>
    <t>1ALS</t>
    <phoneticPr fontId="37" type="noConversion"/>
  </si>
  <si>
    <t>0159</t>
    <phoneticPr fontId="37" type="noConversion"/>
  </si>
  <si>
    <t>0172</t>
    <phoneticPr fontId="37" type="noConversion"/>
  </si>
  <si>
    <t>ROSS</t>
    <phoneticPr fontId="37" type="noConversion"/>
  </si>
  <si>
    <t>1041</t>
    <phoneticPr fontId="37" type="noConversion"/>
  </si>
  <si>
    <t>1063</t>
    <phoneticPr fontId="37" type="noConversion"/>
  </si>
  <si>
    <t>1064</t>
    <phoneticPr fontId="37" type="noConversion"/>
  </si>
  <si>
    <t>1065</t>
    <phoneticPr fontId="37" type="noConversion"/>
  </si>
  <si>
    <t>BA284-1</t>
    <phoneticPr fontId="37" type="noConversion"/>
  </si>
  <si>
    <t>J7860MMEY</t>
    <phoneticPr fontId="37" type="noConversion"/>
  </si>
  <si>
    <t>BA284ATS</t>
    <phoneticPr fontId="37" type="noConversion"/>
  </si>
  <si>
    <t>BA290-1</t>
    <phoneticPr fontId="37" type="noConversion"/>
  </si>
  <si>
    <t>B7899CAEUC</t>
    <phoneticPr fontId="37" type="noConversion"/>
  </si>
  <si>
    <t>BA290-2</t>
    <phoneticPr fontId="37" type="noConversion"/>
  </si>
  <si>
    <t>BA290-3</t>
    <phoneticPr fontId="37" type="noConversion"/>
  </si>
  <si>
    <t>CL160271</t>
    <phoneticPr fontId="37" type="noConversion"/>
  </si>
  <si>
    <t>VFDK5440</t>
    <phoneticPr fontId="37" type="noConversion"/>
  </si>
  <si>
    <t>CL160272</t>
    <phoneticPr fontId="37" type="noConversion"/>
  </si>
  <si>
    <t>VFDK5185</t>
    <phoneticPr fontId="37" type="noConversion"/>
  </si>
  <si>
    <t>CL160275-1</t>
    <phoneticPr fontId="37" type="noConversion"/>
  </si>
  <si>
    <t>DGFDK5185</t>
    <phoneticPr fontId="37" type="noConversion"/>
  </si>
  <si>
    <t>DRY GOODS</t>
    <phoneticPr fontId="37" type="noConversion"/>
  </si>
  <si>
    <t>016607</t>
    <phoneticPr fontId="37" type="noConversion"/>
  </si>
  <si>
    <t>VNFDK5440</t>
    <phoneticPr fontId="37" type="noConversion"/>
  </si>
  <si>
    <t>CL160527</t>
    <phoneticPr fontId="37" type="noConversion"/>
  </si>
  <si>
    <t>VFTK1677S</t>
    <phoneticPr fontId="37" type="noConversion"/>
  </si>
  <si>
    <t>2016-6-12</t>
    <phoneticPr fontId="37" type="noConversion"/>
  </si>
  <si>
    <t>VFTK1677</t>
    <phoneticPr fontId="37" type="noConversion"/>
  </si>
  <si>
    <t>HFC#91481</t>
    <phoneticPr fontId="37" type="noConversion"/>
  </si>
  <si>
    <t>HFC#91485</t>
    <phoneticPr fontId="37" type="noConversion"/>
  </si>
  <si>
    <t>HFC#91485-1</t>
    <phoneticPr fontId="37" type="noConversion"/>
  </si>
  <si>
    <t>HFC#1387-1</t>
    <phoneticPr fontId="37" type="noConversion"/>
  </si>
  <si>
    <t>HFC#1398</t>
    <phoneticPr fontId="37" type="noConversion"/>
  </si>
  <si>
    <t>22689A0007</t>
    <phoneticPr fontId="37" type="noConversion"/>
  </si>
  <si>
    <t>22689A0008</t>
    <phoneticPr fontId="37" type="noConversion"/>
  </si>
  <si>
    <t>22689A0004</t>
    <phoneticPr fontId="37" type="noConversion"/>
  </si>
  <si>
    <t>22689A0002</t>
    <phoneticPr fontId="37" type="noConversion"/>
  </si>
  <si>
    <t>22689A0006</t>
    <phoneticPr fontId="37" type="noConversion"/>
  </si>
  <si>
    <t>22689A0009</t>
    <phoneticPr fontId="37" type="noConversion"/>
  </si>
  <si>
    <t>4-16-403985</t>
    <phoneticPr fontId="37" type="noConversion"/>
  </si>
  <si>
    <t>49572A0001</t>
    <phoneticPr fontId="37" type="noConversion"/>
  </si>
  <si>
    <t>2-16-204687</t>
    <phoneticPr fontId="37" type="noConversion"/>
  </si>
  <si>
    <t>P170555</t>
    <phoneticPr fontId="37" type="noConversion"/>
  </si>
  <si>
    <t>P170556</t>
    <phoneticPr fontId="37" type="noConversion"/>
  </si>
  <si>
    <t>P170557</t>
    <phoneticPr fontId="37" type="noConversion"/>
  </si>
  <si>
    <t>P170560</t>
    <phoneticPr fontId="37" type="noConversion"/>
  </si>
  <si>
    <t>P170561</t>
    <phoneticPr fontId="37" type="noConversion"/>
  </si>
  <si>
    <t>P170562</t>
    <phoneticPr fontId="37" type="noConversion"/>
  </si>
  <si>
    <t>P170625</t>
    <phoneticPr fontId="37" type="noConversion"/>
  </si>
  <si>
    <t>P170531</t>
    <phoneticPr fontId="37" type="noConversion"/>
  </si>
  <si>
    <t>ZT1716-6650</t>
    <phoneticPr fontId="37" type="noConversion"/>
  </si>
  <si>
    <t>P170678</t>
    <phoneticPr fontId="37" type="noConversion"/>
  </si>
  <si>
    <t>TT9011-1998</t>
    <phoneticPr fontId="37" type="noConversion"/>
  </si>
  <si>
    <t>P170723</t>
    <phoneticPr fontId="37" type="noConversion"/>
  </si>
  <si>
    <t>P170732</t>
    <phoneticPr fontId="37" type="noConversion"/>
  </si>
  <si>
    <t>P170795</t>
    <phoneticPr fontId="37" type="noConversion"/>
  </si>
  <si>
    <t>P170884</t>
    <phoneticPr fontId="37" type="noConversion"/>
  </si>
  <si>
    <t>ZT1716-6650-JCP</t>
    <phoneticPr fontId="37" type="noConversion"/>
  </si>
  <si>
    <t>P170886</t>
    <phoneticPr fontId="37" type="noConversion"/>
  </si>
  <si>
    <t>P170888</t>
    <phoneticPr fontId="37" type="noConversion"/>
  </si>
  <si>
    <t>JCP.COM</t>
    <phoneticPr fontId="37" type="noConversion"/>
  </si>
  <si>
    <t>P170889</t>
    <phoneticPr fontId="37" type="noConversion"/>
  </si>
  <si>
    <t>M380-S</t>
    <phoneticPr fontId="37" type="noConversion"/>
  </si>
  <si>
    <t>9686</t>
    <phoneticPr fontId="37" type="noConversion"/>
  </si>
  <si>
    <t>JT5112K3854</t>
    <phoneticPr fontId="37" type="noConversion"/>
  </si>
  <si>
    <t>2016-6-22</t>
    <phoneticPr fontId="37" type="noConversion"/>
  </si>
  <si>
    <t>9687</t>
    <phoneticPr fontId="37" type="noConversion"/>
  </si>
  <si>
    <t>ZT5112K3854</t>
    <phoneticPr fontId="37" type="noConversion"/>
  </si>
</sst>
</file>

<file path=xl/styles.xml><?xml version="1.0" encoding="utf-8"?>
<styleSheet xmlns="http://schemas.openxmlformats.org/spreadsheetml/2006/main">
  <numFmts count="7">
    <numFmt numFmtId="24" formatCode="\$#,##0_);[Red]\(\$#,##0\)"/>
    <numFmt numFmtId="176" formatCode="#,##0_ "/>
    <numFmt numFmtId="178" formatCode="#,##0_);[Red]\(#,##0\)"/>
    <numFmt numFmtId="179" formatCode="#,##0.00_);[Red]\(#,##0.00\)"/>
    <numFmt numFmtId="181" formatCode="m&quot;月&quot;d&quot;日&quot;;@"/>
    <numFmt numFmtId="182" formatCode="m/d;@"/>
    <numFmt numFmtId="183" formatCode="0.00_ "/>
  </numFmts>
  <fonts count="73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color indexed="8"/>
      <name val="Book Antiqua"/>
      <family val="1"/>
    </font>
    <font>
      <sz val="11"/>
      <color indexed="8"/>
      <name val="宋体"/>
      <family val="3"/>
      <charset val="134"/>
    </font>
    <font>
      <b/>
      <sz val="12"/>
      <color indexed="52"/>
      <name val="Book Antiqua"/>
      <family val="1"/>
    </font>
    <font>
      <sz val="12"/>
      <color indexed="9"/>
      <name val="Book Antiqua"/>
      <family val="1"/>
    </font>
    <font>
      <sz val="12"/>
      <color indexed="60"/>
      <name val="Book Antiqua"/>
      <family val="1"/>
    </font>
    <font>
      <b/>
      <sz val="18"/>
      <color indexed="56"/>
      <name val="Cambria"/>
      <family val="1"/>
    </font>
    <font>
      <sz val="12"/>
      <color indexed="10"/>
      <name val="Book Antiqua"/>
      <family val="1"/>
    </font>
    <font>
      <sz val="12"/>
      <color indexed="17"/>
      <name val="Book Antiqua"/>
      <family val="1"/>
    </font>
    <font>
      <b/>
      <sz val="12"/>
      <color indexed="63"/>
      <name val="Book Antiqua"/>
      <family val="1"/>
    </font>
    <font>
      <sz val="11"/>
      <color indexed="9"/>
      <name val="宋体"/>
      <family val="3"/>
      <charset val="134"/>
    </font>
    <font>
      <sz val="12"/>
      <color indexed="20"/>
      <name val="Book Antiqua"/>
      <family val="1"/>
    </font>
    <font>
      <b/>
      <sz val="12"/>
      <color indexed="9"/>
      <name val="Book Antiqua"/>
      <family val="1"/>
    </font>
    <font>
      <b/>
      <sz val="13"/>
      <color indexed="56"/>
      <name val="Book Antiqua"/>
      <family val="1"/>
    </font>
    <font>
      <i/>
      <sz val="12"/>
      <color indexed="23"/>
      <name val="Book Antiqua"/>
      <family val="1"/>
    </font>
    <font>
      <b/>
      <sz val="15"/>
      <color indexed="56"/>
      <name val="Book Antiqua"/>
      <family val="1"/>
    </font>
    <font>
      <sz val="11"/>
      <color indexed="60"/>
      <name val="宋体"/>
      <family val="3"/>
      <charset val="134"/>
    </font>
    <font>
      <b/>
      <sz val="11"/>
      <color indexed="56"/>
      <name val="Book Antiqua"/>
      <family val="1"/>
    </font>
    <font>
      <b/>
      <sz val="11"/>
      <color indexed="52"/>
      <name val="宋体"/>
      <family val="3"/>
      <charset val="134"/>
    </font>
    <font>
      <sz val="12"/>
      <color indexed="62"/>
      <name val="Book Antiqua"/>
      <family val="1"/>
    </font>
    <font>
      <sz val="12"/>
      <color indexed="52"/>
      <name val="Book Antiqua"/>
      <family val="1"/>
    </font>
    <font>
      <b/>
      <sz val="12"/>
      <color indexed="8"/>
      <name val="Book Antiqua"/>
      <family val="1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2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sz val="9"/>
      <name val="宋体"/>
      <family val="3"/>
      <charset val="134"/>
    </font>
    <font>
      <sz val="12"/>
      <name val="楷体_GB2312"/>
      <family val="3"/>
      <charset val="134"/>
    </font>
    <font>
      <sz val="10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10"/>
      <color indexed="8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theme="1"/>
      <name val="Verdana"/>
      <family val="2"/>
    </font>
    <font>
      <b/>
      <sz val="11"/>
      <name val="Verdana"/>
      <family val="2"/>
    </font>
    <font>
      <b/>
      <sz val="11"/>
      <name val="宋体"/>
      <family val="3"/>
      <charset val="134"/>
    </font>
    <font>
      <b/>
      <sz val="14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1A10E0"/>
      <name val="宋体"/>
      <family val="3"/>
      <charset val="134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0"/>
      <color indexed="12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Courier New"/>
      <family val="3"/>
    </font>
  </fonts>
  <fills count="28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</fills>
  <borders count="2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97">
    <xf numFmtId="0" fontId="0" fillId="0" borderId="0">
      <alignment vertical="center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12" fillId="12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13" fillId="3" borderId="0" applyNumberFormat="0" applyBorder="0" applyAlignment="0" applyProtection="0"/>
    <xf numFmtId="0" fontId="5" fillId="20" borderId="1" applyNumberFormat="0" applyAlignment="0" applyProtection="0"/>
    <xf numFmtId="0" fontId="14" fillId="21" borderId="2" applyNumberFormat="0" applyAlignment="0" applyProtection="0"/>
    <xf numFmtId="0" fontId="16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7" fillId="0" borderId="3" applyNumberFormat="0" applyFill="0" applyAlignment="0" applyProtection="0"/>
    <xf numFmtId="0" fontId="15" fillId="0" borderId="4" applyNumberFormat="0" applyFill="0" applyAlignment="0" applyProtection="0"/>
    <xf numFmtId="0" fontId="19" fillId="0" borderId="5" applyNumberFormat="0" applyFill="0" applyAlignment="0" applyProtection="0"/>
    <xf numFmtId="0" fontId="19" fillId="0" borderId="0" applyNumberFormat="0" applyFill="0" applyBorder="0" applyAlignment="0" applyProtection="0"/>
    <xf numFmtId="0" fontId="21" fillId="7" borderId="1" applyNumberFormat="0" applyAlignment="0" applyProtection="0"/>
    <xf numFmtId="0" fontId="22" fillId="0" borderId="6" applyNumberFormat="0" applyFill="0" applyAlignment="0" applyProtection="0"/>
    <xf numFmtId="0" fontId="7" fillId="22" borderId="0" applyNumberFormat="0" applyBorder="0" applyAlignment="0" applyProtection="0"/>
    <xf numFmtId="0" fontId="38" fillId="23" borderId="7" applyNumberFormat="0" applyFont="0" applyAlignment="0" applyProtection="0"/>
    <xf numFmtId="0" fontId="11" fillId="20" borderId="8" applyNumberFormat="0" applyAlignment="0" applyProtection="0"/>
    <xf numFmtId="0" fontId="8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9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center"/>
    </xf>
    <xf numFmtId="0" fontId="25" fillId="0" borderId="3" applyNumberFormat="0" applyFill="0" applyAlignment="0" applyProtection="0">
      <alignment vertical="center"/>
    </xf>
    <xf numFmtId="0" fontId="26" fillId="0" borderId="4" applyNumberFormat="0" applyFill="0" applyAlignment="0" applyProtection="0">
      <alignment vertical="center"/>
    </xf>
    <xf numFmtId="0" fontId="27" fillId="0" borderId="5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3" borderId="0" applyNumberFormat="0" applyBorder="0" applyAlignment="0" applyProtection="0">
      <alignment vertical="center"/>
    </xf>
    <xf numFmtId="0" fontId="29" fillId="4" borderId="0" applyNumberFormat="0" applyBorder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20" fillId="20" borderId="1" applyNumberFormat="0" applyAlignment="0" applyProtection="0">
      <alignment vertical="center"/>
    </xf>
    <xf numFmtId="0" fontId="31" fillId="21" borderId="2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6" applyNumberFormat="0" applyFill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35" fillId="20" borderId="8" applyNumberFormat="0" applyAlignment="0" applyProtection="0">
      <alignment vertical="center"/>
    </xf>
    <xf numFmtId="0" fontId="36" fillId="7" borderId="1" applyNumberFormat="0" applyAlignment="0" applyProtection="0">
      <alignment vertical="center"/>
    </xf>
    <xf numFmtId="0" fontId="38" fillId="23" borderId="7" applyNumberFormat="0" applyFont="0" applyAlignment="0" applyProtection="0">
      <alignment vertical="center"/>
    </xf>
    <xf numFmtId="0" fontId="39" fillId="0" borderId="0"/>
    <xf numFmtId="0" fontId="40" fillId="0" borderId="0"/>
    <xf numFmtId="0" fontId="2" fillId="0" borderId="0">
      <alignment vertical="center"/>
    </xf>
    <xf numFmtId="0" fontId="48" fillId="0" borderId="0"/>
    <xf numFmtId="0" fontId="38" fillId="0" borderId="0"/>
    <xf numFmtId="0" fontId="49" fillId="0" borderId="0"/>
    <xf numFmtId="0" fontId="38" fillId="0" borderId="0"/>
    <xf numFmtId="0" fontId="38" fillId="0" borderId="0">
      <alignment vertical="center"/>
    </xf>
    <xf numFmtId="0" fontId="48" fillId="0" borderId="0"/>
    <xf numFmtId="0" fontId="38" fillId="0" borderId="0"/>
    <xf numFmtId="0" fontId="4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/>
  </cellStyleXfs>
  <cellXfs count="124">
    <xf numFmtId="0" fontId="0" fillId="0" borderId="0" xfId="0">
      <alignment vertical="center"/>
    </xf>
    <xf numFmtId="0" fontId="42" fillId="0" borderId="0" xfId="0" applyFont="1" applyFill="1" applyBorder="1" applyAlignment="1">
      <alignment horizontal="left" vertical="center" wrapText="1"/>
    </xf>
    <xf numFmtId="0" fontId="42" fillId="0" borderId="0" xfId="0" applyFont="1" applyFill="1" applyBorder="1" applyAlignment="1">
      <alignment horizontal="center" vertical="center" wrapText="1"/>
    </xf>
    <xf numFmtId="0" fontId="41" fillId="0" borderId="0" xfId="0" applyFont="1" applyFill="1" applyAlignment="1">
      <alignment vertical="center" wrapText="1"/>
    </xf>
    <xf numFmtId="14" fontId="44" fillId="0" borderId="0" xfId="0" applyNumberFormat="1" applyFont="1" applyFill="1" applyBorder="1" applyAlignment="1">
      <alignment horizontal="right" vertical="center" wrapText="1"/>
    </xf>
    <xf numFmtId="0" fontId="0" fillId="0" borderId="0" xfId="0" applyFill="1">
      <alignment vertical="center"/>
    </xf>
    <xf numFmtId="24" fontId="46" fillId="0" borderId="0" xfId="0" applyNumberFormat="1" applyFont="1" applyFill="1">
      <alignment vertical="center"/>
    </xf>
    <xf numFmtId="0" fontId="41" fillId="24" borderId="11" xfId="0" applyFont="1" applyFill="1" applyBorder="1" applyAlignment="1">
      <alignment horizontal="center" vertical="center" wrapText="1"/>
    </xf>
    <xf numFmtId="24" fontId="47" fillId="0" borderId="11" xfId="0" applyNumberFormat="1" applyFont="1" applyFill="1" applyBorder="1" applyAlignment="1">
      <alignment horizontal="center" vertical="center" wrapText="1"/>
    </xf>
    <xf numFmtId="0" fontId="41" fillId="0" borderId="11" xfId="0" applyFont="1" applyFill="1" applyBorder="1" applyAlignment="1">
      <alignment vertical="center" wrapText="1"/>
    </xf>
    <xf numFmtId="176" fontId="41" fillId="0" borderId="11" xfId="0" applyNumberFormat="1" applyFont="1" applyFill="1" applyBorder="1" applyAlignment="1">
      <alignment horizontal="right" vertical="center" wrapText="1"/>
    </xf>
    <xf numFmtId="24" fontId="47" fillId="0" borderId="11" xfId="0" applyNumberFormat="1" applyFont="1" applyFill="1" applyBorder="1" applyAlignment="1">
      <alignment horizontal="right" vertical="center" wrapText="1"/>
    </xf>
    <xf numFmtId="176" fontId="41" fillId="0" borderId="11" xfId="0" applyNumberFormat="1" applyFont="1" applyFill="1" applyBorder="1" applyAlignment="1">
      <alignment vertical="center" wrapText="1"/>
    </xf>
    <xf numFmtId="3" fontId="0" fillId="0" borderId="0" xfId="0" applyNumberFormat="1">
      <alignment vertical="center"/>
    </xf>
    <xf numFmtId="176" fontId="41" fillId="24" borderId="12" xfId="0" applyNumberFormat="1" applyFont="1" applyFill="1" applyBorder="1" applyAlignment="1">
      <alignment horizontal="right" vertical="center" wrapText="1"/>
    </xf>
    <xf numFmtId="0" fontId="41" fillId="0" borderId="12" xfId="0" quotePrefix="1" applyFont="1" applyFill="1" applyBorder="1" applyAlignment="1">
      <alignment horizontal="center" vertical="center" wrapText="1"/>
    </xf>
    <xf numFmtId="0" fontId="41" fillId="0" borderId="11" xfId="0" applyFont="1" applyFill="1" applyBorder="1" applyAlignment="1">
      <alignment horizontal="center" vertical="center" wrapText="1"/>
    </xf>
    <xf numFmtId="0" fontId="41" fillId="0" borderId="10" xfId="0" applyFont="1" applyFill="1" applyBorder="1" applyAlignment="1">
      <alignment vertical="center" wrapText="1"/>
    </xf>
    <xf numFmtId="0" fontId="41" fillId="0" borderId="12" xfId="0" applyFont="1" applyFill="1" applyBorder="1" applyAlignment="1">
      <alignment vertical="center" wrapText="1"/>
    </xf>
    <xf numFmtId="176" fontId="41" fillId="24" borderId="10" xfId="0" applyNumberFormat="1" applyFont="1" applyFill="1" applyBorder="1" applyAlignment="1">
      <alignment vertical="center" wrapText="1"/>
    </xf>
    <xf numFmtId="176" fontId="41" fillId="24" borderId="12" xfId="0" applyNumberFormat="1" applyFont="1" applyFill="1" applyBorder="1" applyAlignment="1">
      <alignment vertical="center" wrapText="1"/>
    </xf>
    <xf numFmtId="176" fontId="41" fillId="24" borderId="11" xfId="0" applyNumberFormat="1" applyFont="1" applyFill="1" applyBorder="1" applyAlignment="1">
      <alignment vertical="center" wrapText="1"/>
    </xf>
    <xf numFmtId="0" fontId="38" fillId="0" borderId="0" xfId="0" applyFont="1">
      <alignment vertical="center"/>
    </xf>
    <xf numFmtId="0" fontId="42" fillId="0" borderId="14" xfId="0" applyFont="1" applyFill="1" applyBorder="1" applyAlignment="1">
      <alignment horizontal="center" vertical="center" wrapText="1"/>
    </xf>
    <xf numFmtId="0" fontId="42" fillId="0" borderId="15" xfId="0" applyFont="1" applyFill="1" applyBorder="1" applyAlignment="1">
      <alignment horizontal="center" vertical="center" wrapText="1"/>
    </xf>
    <xf numFmtId="0" fontId="41" fillId="0" borderId="10" xfId="0" quotePrefix="1" applyFont="1" applyFill="1" applyBorder="1" applyAlignment="1">
      <alignment horizontal="center" vertical="center" wrapText="1"/>
    </xf>
    <xf numFmtId="0" fontId="41" fillId="0" borderId="12" xfId="0" quotePrefix="1" applyFont="1" applyFill="1" applyBorder="1" applyAlignment="1">
      <alignment horizontal="center" vertical="center" wrapText="1"/>
    </xf>
    <xf numFmtId="0" fontId="43" fillId="0" borderId="0" xfId="0" applyFont="1" applyFill="1" applyBorder="1" applyAlignment="1">
      <alignment horizontal="center" vertical="center" wrapText="1"/>
    </xf>
    <xf numFmtId="0" fontId="41" fillId="0" borderId="10" xfId="0" applyFont="1" applyFill="1" applyBorder="1" applyAlignment="1">
      <alignment horizontal="center" vertical="center" wrapText="1"/>
    </xf>
    <xf numFmtId="0" fontId="41" fillId="0" borderId="12" xfId="0" applyFont="1" applyFill="1" applyBorder="1" applyAlignment="1">
      <alignment horizontal="center" vertical="center"/>
    </xf>
    <xf numFmtId="0" fontId="41" fillId="0" borderId="11" xfId="0" applyFont="1" applyFill="1" applyBorder="1" applyAlignment="1">
      <alignment horizontal="center" vertical="center" wrapText="1"/>
    </xf>
    <xf numFmtId="0" fontId="41" fillId="0" borderId="13" xfId="0" applyFont="1" applyFill="1" applyBorder="1" applyAlignment="1">
      <alignment horizontal="center" vertical="center" wrapText="1"/>
    </xf>
    <xf numFmtId="0" fontId="41" fillId="0" borderId="14" xfId="0" applyFont="1" applyFill="1" applyBorder="1" applyAlignment="1">
      <alignment horizontal="center" vertical="center" wrapText="1"/>
    </xf>
    <xf numFmtId="0" fontId="53" fillId="25" borderId="11" xfId="0" applyFont="1" applyFill="1" applyBorder="1">
      <alignment vertical="center"/>
    </xf>
    <xf numFmtId="176" fontId="53" fillId="0" borderId="11" xfId="90" applyNumberFormat="1" applyFont="1" applyFill="1" applyBorder="1" applyAlignment="1">
      <alignment horizontal="right"/>
    </xf>
    <xf numFmtId="178" fontId="53" fillId="0" borderId="11" xfId="90" applyNumberFormat="1" applyFont="1" applyFill="1" applyBorder="1" applyAlignment="1">
      <alignment horizontal="right"/>
    </xf>
    <xf numFmtId="179" fontId="54" fillId="0" borderId="11" xfId="0" applyNumberFormat="1" applyFont="1" applyFill="1" applyBorder="1" applyAlignment="1">
      <alignment vertical="center"/>
    </xf>
    <xf numFmtId="0" fontId="55" fillId="0" borderId="11" xfId="0" applyFont="1" applyBorder="1" applyAlignment="1">
      <alignment vertical="center" wrapText="1"/>
    </xf>
    <xf numFmtId="0" fontId="53" fillId="25" borderId="0" xfId="0" applyFont="1" applyFill="1">
      <alignment vertical="center"/>
    </xf>
    <xf numFmtId="0" fontId="53" fillId="0" borderId="0" xfId="0" applyFont="1" applyFill="1">
      <alignment vertical="center"/>
    </xf>
    <xf numFmtId="0" fontId="53" fillId="0" borderId="11" xfId="0" applyFont="1" applyBorder="1">
      <alignment vertical="center"/>
    </xf>
    <xf numFmtId="0" fontId="53" fillId="0" borderId="0" xfId="0" applyFont="1">
      <alignment vertical="center"/>
    </xf>
    <xf numFmtId="0" fontId="56" fillId="0" borderId="11" xfId="0" applyFont="1" applyFill="1" applyBorder="1" applyAlignment="1">
      <alignment horizontal="center" vertical="center"/>
    </xf>
    <xf numFmtId="0" fontId="56" fillId="0" borderId="11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8" fillId="0" borderId="0" xfId="93" applyFont="1" applyAlignment="1">
      <alignment horizontal="center" vertical="center"/>
    </xf>
    <xf numFmtId="0" fontId="58" fillId="0" borderId="0" xfId="93" applyFont="1" applyAlignment="1">
      <alignment horizontal="center" vertical="center"/>
    </xf>
    <xf numFmtId="0" fontId="59" fillId="0" borderId="0" xfId="93" applyFont="1" applyFill="1" applyAlignment="1">
      <alignment horizontal="right" vertical="center"/>
    </xf>
    <xf numFmtId="0" fontId="60" fillId="0" borderId="11" xfId="93" applyFont="1" applyBorder="1" applyAlignment="1">
      <alignment horizontal="center" vertical="center"/>
    </xf>
    <xf numFmtId="176" fontId="60" fillId="0" borderId="11" xfId="93" applyNumberFormat="1" applyFont="1" applyFill="1" applyBorder="1" applyAlignment="1">
      <alignment horizontal="center" vertical="center" wrapText="1"/>
    </xf>
    <xf numFmtId="0" fontId="48" fillId="0" borderId="11" xfId="93" applyFont="1" applyBorder="1">
      <alignment vertical="center"/>
    </xf>
    <xf numFmtId="176" fontId="48" fillId="0" borderId="11" xfId="93" applyNumberFormat="1" applyFill="1" applyBorder="1">
      <alignment vertical="center"/>
    </xf>
    <xf numFmtId="0" fontId="52" fillId="0" borderId="11" xfId="93" applyFont="1" applyBorder="1">
      <alignment vertical="center"/>
    </xf>
    <xf numFmtId="0" fontId="62" fillId="0" borderId="11" xfId="93" applyFont="1" applyBorder="1">
      <alignment vertical="center"/>
    </xf>
    <xf numFmtId="176" fontId="62" fillId="0" borderId="11" xfId="93" applyNumberFormat="1" applyFont="1" applyFill="1" applyBorder="1">
      <alignment vertical="center"/>
    </xf>
    <xf numFmtId="0" fontId="60" fillId="0" borderId="11" xfId="93" applyFont="1" applyBorder="1">
      <alignment vertical="center"/>
    </xf>
    <xf numFmtId="176" fontId="60" fillId="0" borderId="11" xfId="93" applyNumberFormat="1" applyFont="1" applyFill="1" applyBorder="1">
      <alignment vertical="center"/>
    </xf>
    <xf numFmtId="0" fontId="48" fillId="0" borderId="11" xfId="93" quotePrefix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3" fillId="0" borderId="16" xfId="94" applyFont="1" applyBorder="1" applyAlignment="1">
      <alignment horizontal="left" vertical="center"/>
    </xf>
    <xf numFmtId="0" fontId="64" fillId="0" borderId="0" xfId="94" applyFont="1">
      <alignment vertical="center"/>
    </xf>
    <xf numFmtId="181" fontId="65" fillId="4" borderId="11" xfId="94" applyNumberFormat="1" applyFont="1" applyFill="1" applyBorder="1" applyAlignment="1" applyProtection="1">
      <alignment horizontal="center" vertical="center" wrapText="1"/>
    </xf>
    <xf numFmtId="49" fontId="65" fillId="4" borderId="11" xfId="94" applyNumberFormat="1" applyFont="1" applyFill="1" applyBorder="1" applyAlignment="1" applyProtection="1">
      <alignment horizontal="center" vertical="center" wrapText="1"/>
    </xf>
    <xf numFmtId="0" fontId="65" fillId="4" borderId="11" xfId="94" applyFont="1" applyFill="1" applyBorder="1" applyAlignment="1" applyProtection="1">
      <alignment horizontal="center" vertical="center" wrapText="1"/>
    </xf>
    <xf numFmtId="178" fontId="65" fillId="4" borderId="11" xfId="94" applyNumberFormat="1" applyFont="1" applyFill="1" applyBorder="1" applyAlignment="1" applyProtection="1">
      <alignment horizontal="center" vertical="center" wrapText="1"/>
    </xf>
    <xf numFmtId="178" fontId="66" fillId="4" borderId="11" xfId="94" applyNumberFormat="1" applyFont="1" applyFill="1" applyBorder="1" applyAlignment="1" applyProtection="1">
      <alignment horizontal="center" vertical="center" wrapText="1"/>
    </xf>
    <xf numFmtId="179" fontId="65" fillId="4" borderId="11" xfId="94" applyNumberFormat="1" applyFont="1" applyFill="1" applyBorder="1" applyAlignment="1" applyProtection="1">
      <alignment horizontal="center" vertical="center" wrapText="1"/>
    </xf>
    <xf numFmtId="181" fontId="67" fillId="4" borderId="11" xfId="94" applyNumberFormat="1" applyFont="1" applyFill="1" applyBorder="1" applyAlignment="1" applyProtection="1">
      <alignment horizontal="left" vertical="center" wrapText="1"/>
    </xf>
    <xf numFmtId="182" fontId="66" fillId="4" borderId="11" xfId="94" applyNumberFormat="1" applyFont="1" applyFill="1" applyBorder="1" applyAlignment="1" applyProtection="1">
      <alignment horizontal="left" vertical="center" wrapText="1"/>
    </xf>
    <xf numFmtId="0" fontId="65" fillId="0" borderId="0" xfId="94" applyFont="1" applyFill="1" applyBorder="1" applyAlignment="1"/>
    <xf numFmtId="0" fontId="65" fillId="0" borderId="0" xfId="94" applyFont="1" applyFill="1" applyAlignment="1">
      <alignment horizontal="center" vertical="center"/>
    </xf>
    <xf numFmtId="181" fontId="52" fillId="0" borderId="11" xfId="94" applyNumberFormat="1" applyFont="1" applyBorder="1" applyAlignment="1">
      <alignment horizontal="left" vertical="center" wrapText="1"/>
    </xf>
    <xf numFmtId="49" fontId="52" fillId="0" borderId="11" xfId="94" applyNumberFormat="1" applyFont="1" applyBorder="1" applyAlignment="1">
      <alignment vertical="center" wrapText="1"/>
    </xf>
    <xf numFmtId="0" fontId="52" fillId="0" borderId="11" xfId="94" applyFont="1" applyBorder="1" applyAlignment="1">
      <alignment vertical="center" wrapText="1"/>
    </xf>
    <xf numFmtId="183" fontId="52" fillId="0" borderId="11" xfId="94" applyNumberFormat="1" applyFont="1" applyBorder="1" applyAlignment="1">
      <alignment vertical="center" wrapText="1"/>
    </xf>
    <xf numFmtId="179" fontId="51" fillId="0" borderId="11" xfId="94" applyNumberFormat="1" applyFont="1" applyFill="1" applyBorder="1" applyAlignment="1">
      <alignment vertical="center"/>
    </xf>
    <xf numFmtId="181" fontId="52" fillId="0" borderId="17" xfId="94" applyNumberFormat="1" applyFont="1" applyBorder="1" applyAlignment="1">
      <alignment horizontal="left" vertical="center" wrapText="1"/>
    </xf>
    <xf numFmtId="49" fontId="52" fillId="0" borderId="18" xfId="94" applyNumberFormat="1" applyFont="1" applyBorder="1" applyAlignment="1">
      <alignment vertical="center" wrapText="1"/>
    </xf>
    <xf numFmtId="49" fontId="52" fillId="0" borderId="0" xfId="94" applyNumberFormat="1" applyFont="1" applyBorder="1" applyAlignment="1">
      <alignment vertical="center" wrapText="1"/>
    </xf>
    <xf numFmtId="0" fontId="52" fillId="0" borderId="0" xfId="94" applyFont="1">
      <alignment vertical="center"/>
    </xf>
    <xf numFmtId="49" fontId="52" fillId="0" borderId="11" xfId="94" applyNumberFormat="1" applyFont="1" applyFill="1" applyBorder="1" applyAlignment="1">
      <alignment vertical="center" wrapText="1"/>
    </xf>
    <xf numFmtId="49" fontId="52" fillId="25" borderId="11" xfId="94" applyNumberFormat="1" applyFont="1" applyFill="1" applyBorder="1" applyAlignment="1">
      <alignment vertical="center" wrapText="1"/>
    </xf>
    <xf numFmtId="0" fontId="68" fillId="25" borderId="11" xfId="94" applyFont="1" applyFill="1" applyBorder="1" applyAlignment="1">
      <alignment horizontal="left" vertical="center"/>
    </xf>
    <xf numFmtId="179" fontId="68" fillId="0" borderId="11" xfId="94" applyNumberFormat="1" applyFont="1" applyFill="1" applyBorder="1" applyAlignment="1">
      <alignment vertical="center"/>
    </xf>
    <xf numFmtId="49" fontId="68" fillId="0" borderId="11" xfId="94" applyNumberFormat="1" applyFont="1" applyBorder="1" applyAlignment="1">
      <alignment vertical="center" wrapText="1"/>
    </xf>
    <xf numFmtId="181" fontId="68" fillId="0" borderId="17" xfId="94" applyNumberFormat="1" applyFont="1" applyBorder="1" applyAlignment="1">
      <alignment horizontal="left" vertical="center" wrapText="1"/>
    </xf>
    <xf numFmtId="3" fontId="52" fillId="0" borderId="11" xfId="94" applyNumberFormat="1" applyFont="1" applyBorder="1" applyAlignment="1">
      <alignment vertical="center" wrapText="1"/>
    </xf>
    <xf numFmtId="49" fontId="52" fillId="0" borderId="19" xfId="94" applyNumberFormat="1" applyFont="1" applyBorder="1" applyAlignment="1">
      <alignment vertical="center" wrapText="1"/>
    </xf>
    <xf numFmtId="49" fontId="52" fillId="0" borderId="20" xfId="94" applyNumberFormat="1" applyFont="1" applyBorder="1" applyAlignment="1">
      <alignment vertical="center" wrapText="1"/>
    </xf>
    <xf numFmtId="181" fontId="68" fillId="0" borderId="11" xfId="94" applyNumberFormat="1" applyFont="1" applyFill="1" applyBorder="1" applyAlignment="1">
      <alignment horizontal="left" vertical="center"/>
    </xf>
    <xf numFmtId="0" fontId="68" fillId="0" borderId="11" xfId="94" applyFont="1" applyBorder="1" applyAlignment="1">
      <alignment vertical="center" wrapText="1"/>
    </xf>
    <xf numFmtId="0" fontId="69" fillId="0" borderId="11" xfId="94" applyFont="1" applyBorder="1" applyAlignment="1">
      <alignment vertical="center" wrapText="1"/>
    </xf>
    <xf numFmtId="179" fontId="51" fillId="0" borderId="10" xfId="94" applyNumberFormat="1" applyFont="1" applyFill="1" applyBorder="1" applyAlignment="1">
      <alignment vertical="center"/>
    </xf>
    <xf numFmtId="49" fontId="52" fillId="0" borderId="10" xfId="94" applyNumberFormat="1" applyFont="1" applyBorder="1" applyAlignment="1">
      <alignment vertical="center" wrapText="1"/>
    </xf>
    <xf numFmtId="181" fontId="52" fillId="0" borderId="13" xfId="94" applyNumberFormat="1" applyFont="1" applyBorder="1" applyAlignment="1">
      <alignment horizontal="left" vertical="center" wrapText="1"/>
    </xf>
    <xf numFmtId="181" fontId="68" fillId="0" borderId="11" xfId="94" applyNumberFormat="1" applyFont="1" applyBorder="1" applyAlignment="1">
      <alignment horizontal="left" vertical="center" wrapText="1"/>
    </xf>
    <xf numFmtId="49" fontId="52" fillId="0" borderId="0" xfId="94" applyNumberFormat="1" applyFont="1" applyFill="1" applyBorder="1" applyAlignment="1">
      <alignment vertical="center" wrapText="1"/>
    </xf>
    <xf numFmtId="0" fontId="52" fillId="0" borderId="0" xfId="94" applyFont="1" applyFill="1">
      <alignment vertical="center"/>
    </xf>
    <xf numFmtId="0" fontId="48" fillId="25" borderId="11" xfId="86" applyFont="1" applyFill="1" applyBorder="1" applyAlignment="1">
      <alignment horizontal="left" vertical="top" wrapText="1"/>
    </xf>
    <xf numFmtId="49" fontId="52" fillId="0" borderId="17" xfId="94" applyNumberFormat="1" applyFont="1" applyBorder="1" applyAlignment="1">
      <alignment vertical="center" wrapText="1"/>
    </xf>
    <xf numFmtId="0" fontId="52" fillId="0" borderId="11" xfId="94" applyFont="1" applyBorder="1">
      <alignment vertical="center"/>
    </xf>
    <xf numFmtId="181" fontId="52" fillId="0" borderId="17" xfId="94" applyNumberFormat="1" applyFont="1" applyFill="1" applyBorder="1" applyAlignment="1">
      <alignment horizontal="left" vertical="center" wrapText="1"/>
    </xf>
    <xf numFmtId="0" fontId="68" fillId="0" borderId="11" xfId="87" applyFont="1" applyFill="1" applyBorder="1" applyAlignment="1">
      <alignment horizontal="left" vertical="center" wrapText="1"/>
    </xf>
    <xf numFmtId="0" fontId="68" fillId="27" borderId="11" xfId="94" applyFont="1" applyFill="1" applyBorder="1" applyAlignment="1">
      <alignment horizontal="left" vertical="center"/>
    </xf>
    <xf numFmtId="49" fontId="68" fillId="0" borderId="11" xfId="94" applyNumberFormat="1" applyFont="1" applyFill="1" applyBorder="1" applyAlignment="1">
      <alignment horizontal="left" vertical="center"/>
    </xf>
    <xf numFmtId="0" fontId="68" fillId="0" borderId="11" xfId="94" applyFont="1" applyFill="1" applyBorder="1" applyAlignment="1">
      <alignment horizontal="left" vertical="center"/>
    </xf>
    <xf numFmtId="0" fontId="68" fillId="0" borderId="11" xfId="94" applyFont="1" applyFill="1" applyBorder="1" applyAlignment="1">
      <alignment vertical="center" wrapText="1"/>
    </xf>
    <xf numFmtId="178" fontId="68" fillId="27" borderId="11" xfId="94" applyNumberFormat="1" applyFont="1" applyFill="1" applyBorder="1" applyAlignment="1">
      <alignment vertical="center"/>
    </xf>
    <xf numFmtId="179" fontId="68" fillId="0" borderId="11" xfId="94" applyNumberFormat="1" applyFont="1" applyFill="1" applyBorder="1" applyAlignment="1">
      <alignment horizontal="right" vertical="center"/>
    </xf>
    <xf numFmtId="181" fontId="70" fillId="0" borderId="11" xfId="94" applyNumberFormat="1" applyFont="1" applyFill="1" applyBorder="1" applyAlignment="1">
      <alignment horizontal="left" vertical="center"/>
    </xf>
    <xf numFmtId="0" fontId="68" fillId="0" borderId="17" xfId="94" applyFont="1" applyFill="1" applyBorder="1" applyAlignment="1">
      <alignment horizontal="left" vertical="center"/>
    </xf>
    <xf numFmtId="3" fontId="69" fillId="0" borderId="11" xfId="94" applyNumberFormat="1" applyFont="1" applyBorder="1" applyAlignment="1">
      <alignment vertical="center" wrapText="1"/>
    </xf>
    <xf numFmtId="183" fontId="69" fillId="0" borderId="11" xfId="94" applyNumberFormat="1" applyFont="1" applyBorder="1" applyAlignment="1">
      <alignment vertical="center" wrapText="1"/>
    </xf>
    <xf numFmtId="49" fontId="69" fillId="0" borderId="11" xfId="94" applyNumberFormat="1" applyFont="1" applyBorder="1" applyAlignment="1">
      <alignment vertical="center" wrapText="1"/>
    </xf>
    <xf numFmtId="181" fontId="69" fillId="0" borderId="11" xfId="94" applyNumberFormat="1" applyFont="1" applyBorder="1" applyAlignment="1">
      <alignment horizontal="left" vertical="center" wrapText="1"/>
    </xf>
    <xf numFmtId="183" fontId="52" fillId="0" borderId="11" xfId="94" applyNumberFormat="1" applyFont="1" applyFill="1" applyBorder="1" applyAlignment="1">
      <alignment vertical="center" wrapText="1"/>
    </xf>
    <xf numFmtId="181" fontId="52" fillId="0" borderId="11" xfId="94" applyNumberFormat="1" applyFont="1" applyFill="1" applyBorder="1" applyAlignment="1">
      <alignment horizontal="left" vertical="center" wrapText="1"/>
    </xf>
    <xf numFmtId="49" fontId="52" fillId="0" borderId="12" xfId="94" applyNumberFormat="1" applyFont="1" applyBorder="1" applyAlignment="1">
      <alignment vertical="center" wrapText="1"/>
    </xf>
    <xf numFmtId="183" fontId="68" fillId="0" borderId="11" xfId="94" applyNumberFormat="1" applyFont="1" applyBorder="1" applyAlignment="1">
      <alignment vertical="center" wrapText="1"/>
    </xf>
    <xf numFmtId="49" fontId="52" fillId="26" borderId="11" xfId="94" applyNumberFormat="1" applyFont="1" applyFill="1" applyBorder="1" applyAlignment="1">
      <alignment vertical="center" wrapText="1"/>
    </xf>
    <xf numFmtId="0" fontId="48" fillId="25" borderId="12" xfId="86" applyFont="1" applyFill="1" applyBorder="1" applyAlignment="1">
      <alignment horizontal="left" vertical="top" wrapText="1"/>
    </xf>
    <xf numFmtId="0" fontId="68" fillId="0" borderId="0" xfId="94" applyFont="1" applyFill="1" applyBorder="1" applyAlignment="1"/>
    <xf numFmtId="0" fontId="68" fillId="0" borderId="0" xfId="94" applyFont="1" applyFill="1" applyAlignment="1"/>
    <xf numFmtId="0" fontId="1" fillId="0" borderId="0" xfId="94">
      <alignment vertical="center"/>
    </xf>
  </cellXfs>
  <cellStyles count="97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20% - 强调文字颜色 1" xfId="7" builtinId="30" customBuiltin="1"/>
    <cellStyle name="20% - 强调文字颜色 2" xfId="8" builtinId="34" customBuiltin="1"/>
    <cellStyle name="20% - 强调文字颜色 3" xfId="9" builtinId="38" customBuiltin="1"/>
    <cellStyle name="20% - 强调文字颜色 4" xfId="10" builtinId="42" customBuiltin="1"/>
    <cellStyle name="20% - 强调文字颜色 5" xfId="11" builtinId="46" customBuiltin="1"/>
    <cellStyle name="20% - 强调文字颜色 6" xfId="12" builtinId="50" customBuiltin="1"/>
    <cellStyle name="40% - Accent1" xfId="13"/>
    <cellStyle name="40% - Accent2" xfId="14"/>
    <cellStyle name="40% - Accent3" xfId="15"/>
    <cellStyle name="40% - Accent4" xfId="16"/>
    <cellStyle name="40% - Accent5" xfId="17"/>
    <cellStyle name="40% - Accent6" xfId="18"/>
    <cellStyle name="40% - 强调文字颜色 1" xfId="19" builtinId="31" customBuiltin="1"/>
    <cellStyle name="40% - 强调文字颜色 2" xfId="20" builtinId="35" customBuiltin="1"/>
    <cellStyle name="40% - 强调文字颜色 3" xfId="21" builtinId="39" customBuiltin="1"/>
    <cellStyle name="40% - 强调文字颜色 4" xfId="22" builtinId="43" customBuiltin="1"/>
    <cellStyle name="40% - 强调文字颜色 5" xfId="23" builtinId="47" customBuiltin="1"/>
    <cellStyle name="40% - 强调文字颜色 6" xfId="24" builtinId="51" customBuiltin="1"/>
    <cellStyle name="60% - Accent1" xfId="25"/>
    <cellStyle name="60% - Accent2" xfId="26"/>
    <cellStyle name="60% - Accent3" xfId="27"/>
    <cellStyle name="60% - Accent4" xfId="28"/>
    <cellStyle name="60% - Accent5" xfId="29"/>
    <cellStyle name="60% - Accent6" xfId="30"/>
    <cellStyle name="60% - 强调文字颜色 1" xfId="31" builtinId="32" customBuiltin="1"/>
    <cellStyle name="60% - 强调文字颜色 2" xfId="32" builtinId="36" customBuiltin="1"/>
    <cellStyle name="60% - 强调文字颜色 3" xfId="33" builtinId="40" customBuiltin="1"/>
    <cellStyle name="60% - 强调文字颜色 4" xfId="34" builtinId="44" customBuiltin="1"/>
    <cellStyle name="60% - 强调文字颜色 5" xfId="35" builtinId="48" customBuiltin="1"/>
    <cellStyle name="60% - 强调文字颜色 6" xfId="36" builtinId="52" customBuiltin="1"/>
    <cellStyle name="Accent1" xfId="37"/>
    <cellStyle name="Accent2" xfId="38"/>
    <cellStyle name="Accent3" xfId="39"/>
    <cellStyle name="Accent4" xfId="40"/>
    <cellStyle name="Accent5" xfId="41"/>
    <cellStyle name="Accent6" xfId="42"/>
    <cellStyle name="Bad" xfId="43"/>
    <cellStyle name="Calculation" xfId="44"/>
    <cellStyle name="Check Cell" xfId="45"/>
    <cellStyle name="Explanatory Text" xfId="46"/>
    <cellStyle name="Good" xfId="47"/>
    <cellStyle name="Heading 1" xfId="48"/>
    <cellStyle name="Heading 2" xfId="49"/>
    <cellStyle name="Heading 3" xfId="50"/>
    <cellStyle name="Heading 4" xfId="51"/>
    <cellStyle name="Input" xfId="52"/>
    <cellStyle name="Linked Cell" xfId="53"/>
    <cellStyle name="Neutral" xfId="54"/>
    <cellStyle name="Normal 2" xfId="88"/>
    <cellStyle name="Note" xfId="55"/>
    <cellStyle name="Output" xfId="56"/>
    <cellStyle name="Title" xfId="57"/>
    <cellStyle name="Total" xfId="58"/>
    <cellStyle name="Warning Text" xfId="59"/>
    <cellStyle name="标题" xfId="60" builtinId="15" customBuiltin="1"/>
    <cellStyle name="标题 1" xfId="61" builtinId="16" customBuiltin="1"/>
    <cellStyle name="标题 2" xfId="62" builtinId="17" customBuiltin="1"/>
    <cellStyle name="标题 3" xfId="63" builtinId="18" customBuiltin="1"/>
    <cellStyle name="标题 4" xfId="64" builtinId="19" customBuiltin="1"/>
    <cellStyle name="差" xfId="65" builtinId="27" customBuiltin="1"/>
    <cellStyle name="常规" xfId="0" builtinId="0"/>
    <cellStyle name="常规 2" xfId="83"/>
    <cellStyle name="常规 2 2" xfId="86"/>
    <cellStyle name="常规 2 3" xfId="87"/>
    <cellStyle name="常规 2 3 2" xfId="96"/>
    <cellStyle name="常规 2 4" xfId="89"/>
    <cellStyle name="常规 3" xfId="85"/>
    <cellStyle name="常规 3 2" xfId="95"/>
    <cellStyle name="常规 4" xfId="90"/>
    <cellStyle name="常规 5" xfId="91"/>
    <cellStyle name="常规 6" xfId="92"/>
    <cellStyle name="常规 7" xfId="93"/>
    <cellStyle name="常规 8" xfId="84"/>
    <cellStyle name="常规 9" xfId="94"/>
    <cellStyle name="好" xfId="66" builtinId="26" customBuiltin="1"/>
    <cellStyle name="汇总" xfId="67" builtinId="25" customBuiltin="1"/>
    <cellStyle name="计算" xfId="68" builtinId="22" customBuiltin="1"/>
    <cellStyle name="检查单元格" xfId="69" builtinId="23" customBuiltin="1"/>
    <cellStyle name="解释性文本" xfId="70" builtinId="53" customBuiltin="1"/>
    <cellStyle name="警告文本" xfId="71" builtinId="11" customBuiltin="1"/>
    <cellStyle name="链接单元格" xfId="72" builtinId="24" customBuiltin="1"/>
    <cellStyle name="强调文字颜色 1" xfId="73" builtinId="29" customBuiltin="1"/>
    <cellStyle name="强调文字颜色 2" xfId="74" builtinId="33" customBuiltin="1"/>
    <cellStyle name="强调文字颜色 3" xfId="75" builtinId="37" customBuiltin="1"/>
    <cellStyle name="强调文字颜色 4" xfId="76" builtinId="41" customBuiltin="1"/>
    <cellStyle name="强调文字颜色 5" xfId="77" builtinId="45" customBuiltin="1"/>
    <cellStyle name="强调文字颜色 6" xfId="78" builtinId="49" customBuiltin="1"/>
    <cellStyle name="适中" xfId="79" builtinId="28" customBuiltin="1"/>
    <cellStyle name="输出" xfId="80" builtinId="21" customBuiltin="1"/>
    <cellStyle name="输入" xfId="81" builtinId="20" customBuiltin="1"/>
    <cellStyle name="注释" xfId="82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I56"/>
  <sheetViews>
    <sheetView zoomScale="110" zoomScaleNormal="110" workbookViewId="0">
      <pane ySplit="4" topLeftCell="A5" activePane="bottomLeft" state="frozen"/>
      <selection pane="bottomLeft" activeCell="D20" sqref="D20"/>
    </sheetView>
  </sheetViews>
  <sheetFormatPr defaultRowHeight="14.25"/>
  <cols>
    <col min="1" max="1" width="4.625" customWidth="1"/>
    <col min="2" max="2" width="9.625" customWidth="1"/>
    <col min="3" max="4" width="11.75" style="5" customWidth="1"/>
    <col min="5" max="5" width="11.75" customWidth="1"/>
    <col min="6" max="6" width="11.625" style="5" customWidth="1"/>
    <col min="7" max="7" width="16.125" style="6" customWidth="1"/>
  </cols>
  <sheetData>
    <row r="1" spans="1:9" ht="23.25" customHeight="1">
      <c r="A1" s="27" t="s">
        <v>22</v>
      </c>
      <c r="B1" s="27"/>
      <c r="C1" s="27"/>
      <c r="D1" s="27"/>
      <c r="E1" s="27"/>
      <c r="F1" s="27"/>
      <c r="G1" s="27"/>
    </row>
    <row r="2" spans="1:9" ht="24" customHeight="1">
      <c r="A2" s="1"/>
      <c r="B2" s="1"/>
      <c r="C2" s="2"/>
      <c r="D2" s="2"/>
      <c r="E2" s="2"/>
      <c r="F2" s="2"/>
      <c r="G2" s="4" t="s">
        <v>19</v>
      </c>
    </row>
    <row r="3" spans="1:9" ht="30.75" customHeight="1">
      <c r="A3" s="28" t="s">
        <v>2</v>
      </c>
      <c r="B3" s="31" t="s">
        <v>21</v>
      </c>
      <c r="C3" s="30" t="s">
        <v>20</v>
      </c>
      <c r="D3" s="30"/>
      <c r="E3" s="7"/>
      <c r="F3" s="30" t="s">
        <v>1</v>
      </c>
      <c r="G3" s="30"/>
    </row>
    <row r="4" spans="1:9" ht="18" customHeight="1">
      <c r="A4" s="29"/>
      <c r="B4" s="32"/>
      <c r="C4" s="16" t="s">
        <v>5</v>
      </c>
      <c r="D4" s="16" t="s">
        <v>4</v>
      </c>
      <c r="E4" s="7"/>
      <c r="F4" s="16" t="s">
        <v>3</v>
      </c>
      <c r="G4" s="8" t="s">
        <v>7</v>
      </c>
    </row>
    <row r="5" spans="1:9" ht="25.5" customHeight="1">
      <c r="A5" s="15">
        <v>1</v>
      </c>
      <c r="B5" s="17" t="s">
        <v>0</v>
      </c>
      <c r="C5" s="10">
        <v>1558858</v>
      </c>
      <c r="D5" s="10">
        <v>852920</v>
      </c>
      <c r="E5" s="19"/>
      <c r="F5" s="10">
        <f>C5+D5</f>
        <v>2411778</v>
      </c>
      <c r="G5" s="11">
        <v>9660606</v>
      </c>
    </row>
    <row r="6" spans="1:9" ht="25.5" customHeight="1">
      <c r="A6" s="15">
        <v>2</v>
      </c>
      <c r="B6" s="17" t="s">
        <v>6</v>
      </c>
      <c r="C6" s="10"/>
      <c r="D6" s="10"/>
      <c r="E6" s="21"/>
      <c r="F6" s="10">
        <f t="shared" ref="F6:F13" si="0">C6+D6</f>
        <v>0</v>
      </c>
      <c r="G6" s="11"/>
    </row>
    <row r="7" spans="1:9" ht="25.5" customHeight="1">
      <c r="A7" s="15">
        <v>3</v>
      </c>
      <c r="B7" s="17" t="s">
        <v>8</v>
      </c>
      <c r="C7" s="10"/>
      <c r="D7" s="10" ph="1"/>
      <c r="E7" s="20"/>
      <c r="F7" s="10">
        <f t="shared" si="0"/>
        <v>0</v>
      </c>
      <c r="G7" s="11"/>
      <c r="I7" s="22"/>
    </row>
    <row r="8" spans="1:9" ht="25.5" customHeight="1">
      <c r="A8" s="15">
        <v>4</v>
      </c>
      <c r="B8" s="17" t="s">
        <v>9</v>
      </c>
      <c r="C8" s="10"/>
      <c r="D8" s="10"/>
      <c r="E8" s="19"/>
      <c r="F8" s="10">
        <f t="shared" si="0"/>
        <v>0</v>
      </c>
      <c r="G8" s="11"/>
    </row>
    <row r="9" spans="1:9" ht="25.5" customHeight="1">
      <c r="A9" s="15">
        <v>5</v>
      </c>
      <c r="B9" s="17" t="s">
        <v>10</v>
      </c>
      <c r="C9" s="10"/>
      <c r="D9" s="10" ph="1"/>
      <c r="E9" s="19"/>
      <c r="F9" s="10">
        <f t="shared" si="0"/>
        <v>0</v>
      </c>
      <c r="G9" s="11"/>
    </row>
    <row r="10" spans="1:9" ht="25.5" customHeight="1">
      <c r="A10" s="15">
        <v>6</v>
      </c>
      <c r="B10" s="17" t="s">
        <v>11</v>
      </c>
      <c r="C10" s="10"/>
      <c r="D10" s="10" ph="1"/>
      <c r="E10" s="19"/>
      <c r="F10" s="10">
        <f>C10+D10</f>
        <v>0</v>
      </c>
      <c r="G10" s="11"/>
    </row>
    <row r="11" spans="1:9" ht="25.5" customHeight="1">
      <c r="A11" s="15">
        <v>7</v>
      </c>
      <c r="B11" s="17" t="s">
        <v>12</v>
      </c>
      <c r="C11" s="10"/>
      <c r="D11" s="10"/>
      <c r="E11" s="19"/>
      <c r="F11" s="10">
        <f>C11+D11</f>
        <v>0</v>
      </c>
      <c r="G11" s="11"/>
    </row>
    <row r="12" spans="1:9" ht="25.5" customHeight="1">
      <c r="A12" s="15">
        <v>8</v>
      </c>
      <c r="B12" s="17" t="s">
        <v>14</v>
      </c>
      <c r="C12" s="10"/>
      <c r="D12" s="10" ph="1"/>
      <c r="E12" s="21"/>
      <c r="F12" s="10">
        <f>C12+D12</f>
        <v>0</v>
      </c>
      <c r="G12" s="11"/>
    </row>
    <row r="13" spans="1:9" ht="25.5" customHeight="1">
      <c r="A13" s="15">
        <v>9</v>
      </c>
      <c r="B13" s="17" t="s">
        <v>16</v>
      </c>
      <c r="C13" s="10"/>
      <c r="D13" s="10" ph="1"/>
      <c r="E13" s="20"/>
      <c r="F13" s="10">
        <f t="shared" si="0"/>
        <v>0</v>
      </c>
      <c r="G13" s="11"/>
    </row>
    <row r="14" spans="1:9" ht="25.5" hidden="1" customHeight="1">
      <c r="A14" s="25">
        <v>10</v>
      </c>
      <c r="B14" s="17" t="s">
        <v>15</v>
      </c>
      <c r="C14" s="10"/>
      <c r="D14" s="10" ph="1"/>
      <c r="E14" s="19"/>
      <c r="F14" s="10"/>
      <c r="G14" s="11"/>
    </row>
    <row r="15" spans="1:9" ht="25.5" hidden="1" customHeight="1">
      <c r="A15" s="26"/>
      <c r="B15" s="18"/>
      <c r="C15" s="10"/>
      <c r="D15" s="10" ph="1"/>
      <c r="E15" s="20"/>
      <c r="F15" s="10"/>
      <c r="G15" s="11"/>
    </row>
    <row r="16" spans="1:9" ht="25.5" customHeight="1">
      <c r="A16" s="15">
        <v>10</v>
      </c>
      <c r="B16" s="17" t="s">
        <v>17</v>
      </c>
      <c r="C16" s="10"/>
      <c r="D16" s="10"/>
      <c r="E16" s="20"/>
      <c r="F16" s="10">
        <f>C16+D16</f>
        <v>0</v>
      </c>
      <c r="G16" s="11"/>
    </row>
    <row r="17" spans="1:7" ht="25.5" customHeight="1">
      <c r="A17" s="15">
        <v>11</v>
      </c>
      <c r="B17" s="9" t="s">
        <v>18</v>
      </c>
      <c r="C17" s="10"/>
      <c r="D17" s="10"/>
      <c r="E17" s="20"/>
      <c r="F17" s="10">
        <f>C17+D17</f>
        <v>0</v>
      </c>
      <c r="G17" s="11"/>
    </row>
    <row r="18" spans="1:7" s="3" customFormat="1" ht="23.25" customHeight="1">
      <c r="A18" s="23" t="s">
        <v>13</v>
      </c>
      <c r="B18" s="24"/>
      <c r="C18" s="12">
        <f>C5+C6+C7+C8+C9+C10+C11+C12+C13+C15+C16+C17</f>
        <v>1558858</v>
      </c>
      <c r="D18" s="12">
        <f>D5+D6+D7+D8+D9+D10+D11+D12+D13+D15+D16+D17</f>
        <v>852920</v>
      </c>
      <c r="E18" s="14"/>
      <c r="F18" s="12">
        <f>F5+F6+F7+F8+F9+F10+F11+F12+F13+F15+F16+F17</f>
        <v>2411778</v>
      </c>
      <c r="G18" s="12">
        <f>G5+G6+G7+G8+G9+G10+G11+G12+G13+G15+G16+G17</f>
        <v>9660606</v>
      </c>
    </row>
    <row r="19" spans="1:7">
      <c r="G19" s="5"/>
    </row>
    <row r="20" spans="1:7" ht="24">
      <c r="D20" s="5" ph="1"/>
    </row>
    <row r="53" spans="9:9">
      <c r="I53" s="13"/>
    </row>
    <row r="54" spans="9:9">
      <c r="I54" s="13"/>
    </row>
    <row r="55" spans="9:9">
      <c r="I55" s="13"/>
    </row>
    <row r="56" spans="9:9">
      <c r="I56" s="13"/>
    </row>
  </sheetData>
  <mergeCells count="7">
    <mergeCell ref="A18:B18"/>
    <mergeCell ref="A14:A15"/>
    <mergeCell ref="A1:G1"/>
    <mergeCell ref="A3:A4"/>
    <mergeCell ref="C3:D3"/>
    <mergeCell ref="F3:G3"/>
    <mergeCell ref="B3:B4"/>
  </mergeCells>
  <phoneticPr fontId="37" type="noConversion"/>
  <printOptions horizontalCentered="1"/>
  <pageMargins left="0.39370078740157483" right="0.39370078740157483" top="0.74803149606299213" bottom="0.74803149606299213" header="0.35433070866141736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D33"/>
  <sheetViews>
    <sheetView workbookViewId="0">
      <selection activeCell="C21" sqref="C21"/>
    </sheetView>
  </sheetViews>
  <sheetFormatPr defaultRowHeight="12.75"/>
  <cols>
    <col min="1" max="1" width="9" style="41"/>
    <col min="2" max="2" width="13.875" style="38" customWidth="1"/>
    <col min="3" max="3" width="10.625" style="39"/>
    <col min="4" max="4" width="13" style="39" customWidth="1"/>
    <col min="5" max="16384" width="9" style="41"/>
  </cols>
  <sheetData>
    <row r="1" spans="1:4" s="44" customFormat="1" ht="45" customHeight="1">
      <c r="A1" s="43" t="s">
        <v>58</v>
      </c>
      <c r="B1" s="43" t="s">
        <v>59</v>
      </c>
      <c r="C1" s="42" t="s">
        <v>60</v>
      </c>
      <c r="D1" s="42" t="s">
        <v>61</v>
      </c>
    </row>
    <row r="2" spans="1:4">
      <c r="A2" s="40" t="s">
        <v>62</v>
      </c>
      <c r="B2" s="33" t="s">
        <v>34</v>
      </c>
      <c r="C2" s="34"/>
      <c r="D2" s="35"/>
    </row>
    <row r="3" spans="1:4">
      <c r="A3" s="40" t="s">
        <v>62</v>
      </c>
      <c r="B3" s="33" t="s">
        <v>35</v>
      </c>
      <c r="C3" s="34"/>
      <c r="D3" s="35"/>
    </row>
    <row r="4" spans="1:4">
      <c r="A4" s="40" t="s">
        <v>62</v>
      </c>
      <c r="B4" s="33" t="s">
        <v>36</v>
      </c>
      <c r="C4" s="34"/>
      <c r="D4" s="35"/>
    </row>
    <row r="5" spans="1:4">
      <c r="A5" s="40" t="s">
        <v>62</v>
      </c>
      <c r="B5" s="33" t="s">
        <v>37</v>
      </c>
      <c r="C5" s="34"/>
      <c r="D5" s="35"/>
    </row>
    <row r="6" spans="1:4">
      <c r="A6" s="40" t="s">
        <v>62</v>
      </c>
      <c r="B6" s="33" t="s">
        <v>38</v>
      </c>
      <c r="C6" s="34"/>
      <c r="D6" s="35"/>
    </row>
    <row r="7" spans="1:4">
      <c r="A7" s="40" t="s">
        <v>62</v>
      </c>
      <c r="B7" s="33" t="s">
        <v>39</v>
      </c>
      <c r="C7" s="34"/>
      <c r="D7" s="35"/>
    </row>
    <row r="8" spans="1:4">
      <c r="A8" s="40" t="s">
        <v>62</v>
      </c>
      <c r="B8" s="33" t="s">
        <v>40</v>
      </c>
      <c r="C8" s="34"/>
      <c r="D8" s="35"/>
    </row>
    <row r="9" spans="1:4">
      <c r="A9" s="40" t="s">
        <v>62</v>
      </c>
      <c r="B9" s="33" t="s">
        <v>41</v>
      </c>
      <c r="C9" s="34"/>
      <c r="D9" s="35"/>
    </row>
    <row r="10" spans="1:4">
      <c r="A10" s="40" t="s">
        <v>62</v>
      </c>
      <c r="B10" s="33" t="s">
        <v>42</v>
      </c>
      <c r="C10" s="34"/>
      <c r="D10" s="35"/>
    </row>
    <row r="11" spans="1:4">
      <c r="A11" s="40"/>
      <c r="B11" s="33" t="s">
        <v>43</v>
      </c>
      <c r="C11" s="34"/>
      <c r="D11" s="35"/>
    </row>
    <row r="12" spans="1:4">
      <c r="A12" s="40"/>
      <c r="B12" s="33" t="s">
        <v>44</v>
      </c>
      <c r="C12" s="34"/>
      <c r="D12" s="35"/>
    </row>
    <row r="13" spans="1:4">
      <c r="A13" s="40"/>
      <c r="B13" s="33" t="s">
        <v>44</v>
      </c>
      <c r="C13" s="34"/>
      <c r="D13" s="35"/>
    </row>
    <row r="14" spans="1:4">
      <c r="A14" s="40"/>
      <c r="B14" s="33" t="s">
        <v>45</v>
      </c>
      <c r="C14" s="34"/>
      <c r="D14" s="35"/>
    </row>
    <row r="15" spans="1:4">
      <c r="A15" s="40"/>
      <c r="B15" s="33" t="s">
        <v>45</v>
      </c>
      <c r="C15" s="34"/>
      <c r="D15" s="35"/>
    </row>
    <row r="16" spans="1:4">
      <c r="A16" s="40"/>
      <c r="B16" s="33" t="s">
        <v>37</v>
      </c>
      <c r="C16" s="34"/>
      <c r="D16" s="36"/>
    </row>
    <row r="17" spans="1:4">
      <c r="A17" s="40"/>
      <c r="B17" s="33" t="s">
        <v>46</v>
      </c>
      <c r="C17" s="34"/>
      <c r="D17" s="35"/>
    </row>
    <row r="18" spans="1:4">
      <c r="A18" s="40"/>
      <c r="B18" s="33" t="s">
        <v>42</v>
      </c>
      <c r="C18" s="34"/>
      <c r="D18" s="35"/>
    </row>
    <row r="19" spans="1:4">
      <c r="A19" s="40"/>
      <c r="B19" s="33" t="s">
        <v>47</v>
      </c>
      <c r="C19" s="34"/>
      <c r="D19" s="35"/>
    </row>
    <row r="20" spans="1:4">
      <c r="A20" s="40"/>
      <c r="B20" s="33" t="s">
        <v>48</v>
      </c>
      <c r="C20" s="34"/>
      <c r="D20" s="35"/>
    </row>
    <row r="21" spans="1:4">
      <c r="A21" s="40"/>
      <c r="B21" s="33" t="s">
        <v>49</v>
      </c>
      <c r="C21" s="37"/>
      <c r="D21" s="35"/>
    </row>
    <row r="22" spans="1:4">
      <c r="A22" s="40"/>
      <c r="B22" s="33" t="s">
        <v>38</v>
      </c>
      <c r="C22" s="34"/>
      <c r="D22" s="35"/>
    </row>
    <row r="23" spans="1:4">
      <c r="A23" s="40"/>
      <c r="B23" s="33" t="s">
        <v>50</v>
      </c>
      <c r="C23" s="34"/>
      <c r="D23" s="35"/>
    </row>
    <row r="24" spans="1:4">
      <c r="A24" s="40"/>
      <c r="B24" s="33" t="s">
        <v>41</v>
      </c>
      <c r="C24" s="34"/>
      <c r="D24" s="35"/>
    </row>
    <row r="25" spans="1:4">
      <c r="A25" s="40"/>
      <c r="B25" s="33" t="s">
        <v>51</v>
      </c>
      <c r="C25" s="34"/>
      <c r="D25" s="35"/>
    </row>
    <row r="26" spans="1:4">
      <c r="A26" s="40"/>
      <c r="B26" s="33" t="s">
        <v>52</v>
      </c>
      <c r="C26" s="34"/>
      <c r="D26" s="35"/>
    </row>
    <row r="27" spans="1:4">
      <c r="A27" s="40"/>
      <c r="B27" s="33" t="s">
        <v>53</v>
      </c>
      <c r="C27" s="34"/>
      <c r="D27" s="35"/>
    </row>
    <row r="28" spans="1:4">
      <c r="A28" s="40"/>
      <c r="B28" s="33" t="s">
        <v>54</v>
      </c>
      <c r="C28" s="34"/>
      <c r="D28" s="35"/>
    </row>
    <row r="29" spans="1:4">
      <c r="A29" s="40"/>
      <c r="B29" s="33" t="s">
        <v>55</v>
      </c>
      <c r="C29" s="34"/>
      <c r="D29" s="35"/>
    </row>
    <row r="30" spans="1:4">
      <c r="A30" s="40"/>
      <c r="B30" s="33" t="s">
        <v>38</v>
      </c>
      <c r="C30" s="34"/>
      <c r="D30" s="35"/>
    </row>
    <row r="31" spans="1:4">
      <c r="A31" s="40"/>
      <c r="B31" s="33" t="s">
        <v>56</v>
      </c>
      <c r="C31" s="34"/>
      <c r="D31" s="35"/>
    </row>
    <row r="32" spans="1:4">
      <c r="A32" s="40"/>
      <c r="B32" s="33" t="s">
        <v>42</v>
      </c>
      <c r="C32" s="34"/>
      <c r="D32" s="35"/>
    </row>
    <row r="33" spans="1:4">
      <c r="A33" s="40"/>
      <c r="B33" s="33" t="s">
        <v>57</v>
      </c>
      <c r="C33" s="34"/>
      <c r="D33" s="35"/>
    </row>
  </sheetData>
  <phoneticPr fontId="4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C37"/>
  <sheetViews>
    <sheetView workbookViewId="0">
      <selection activeCell="C9" sqref="C9"/>
    </sheetView>
  </sheetViews>
  <sheetFormatPr defaultRowHeight="14.25"/>
  <cols>
    <col min="1" max="1" width="9" style="58"/>
    <col min="2" max="2" width="24.5" customWidth="1"/>
    <col min="3" max="3" width="20.75" customWidth="1"/>
  </cols>
  <sheetData>
    <row r="1" spans="1:3" ht="18.75">
      <c r="A1" s="45" t="s">
        <v>63</v>
      </c>
      <c r="B1" s="45"/>
      <c r="C1" s="45"/>
    </row>
    <row r="2" spans="1:3" ht="18.75">
      <c r="A2" s="46"/>
      <c r="B2" s="46"/>
      <c r="C2" s="47" t="s">
        <v>64</v>
      </c>
    </row>
    <row r="3" spans="1:3">
      <c r="A3" s="48" t="s">
        <v>65</v>
      </c>
      <c r="B3" s="48" t="s">
        <v>66</v>
      </c>
      <c r="C3" s="49" t="s">
        <v>67</v>
      </c>
    </row>
    <row r="4" spans="1:3">
      <c r="A4" s="57">
        <v>1</v>
      </c>
      <c r="B4" s="50" t="s">
        <v>68</v>
      </c>
      <c r="C4" s="51">
        <v>1233654</v>
      </c>
    </row>
    <row r="5" spans="1:3">
      <c r="A5" s="57">
        <v>2</v>
      </c>
      <c r="B5" s="50" t="s">
        <v>69</v>
      </c>
      <c r="C5" s="51">
        <v>853857</v>
      </c>
    </row>
    <row r="6" spans="1:3">
      <c r="A6" s="57">
        <v>3</v>
      </c>
      <c r="B6" s="50" t="s">
        <v>70</v>
      </c>
      <c r="C6" s="51">
        <v>812485</v>
      </c>
    </row>
    <row r="7" spans="1:3">
      <c r="A7" s="57">
        <v>4</v>
      </c>
      <c r="B7" s="50" t="s">
        <v>71</v>
      </c>
      <c r="C7" s="51">
        <v>797667</v>
      </c>
    </row>
    <row r="8" spans="1:3">
      <c r="A8" s="57">
        <v>5</v>
      </c>
      <c r="B8" s="50" t="s">
        <v>72</v>
      </c>
      <c r="C8" s="51">
        <v>275490</v>
      </c>
    </row>
    <row r="9" spans="1:3">
      <c r="A9" s="57">
        <v>6</v>
      </c>
      <c r="B9" s="50" t="s">
        <v>73</v>
      </c>
      <c r="C9" s="51">
        <v>246040</v>
      </c>
    </row>
    <row r="10" spans="1:3">
      <c r="A10" s="57">
        <v>7</v>
      </c>
      <c r="B10" s="50" t="s">
        <v>74</v>
      </c>
      <c r="C10" s="51">
        <v>229650</v>
      </c>
    </row>
    <row r="11" spans="1:3">
      <c r="A11" s="57">
        <v>8</v>
      </c>
      <c r="B11" s="50" t="s">
        <v>75</v>
      </c>
      <c r="C11" s="51">
        <v>172290</v>
      </c>
    </row>
    <row r="12" spans="1:3">
      <c r="A12" s="57">
        <v>9</v>
      </c>
      <c r="B12" s="50" t="s">
        <v>76</v>
      </c>
      <c r="C12" s="51">
        <v>156171</v>
      </c>
    </row>
    <row r="13" spans="1:3">
      <c r="A13" s="57">
        <v>10</v>
      </c>
      <c r="B13" s="50" t="s">
        <v>77</v>
      </c>
      <c r="C13" s="51">
        <v>144005</v>
      </c>
    </row>
    <row r="14" spans="1:3">
      <c r="A14" s="57">
        <v>11</v>
      </c>
      <c r="B14" s="52" t="s">
        <v>78</v>
      </c>
      <c r="C14" s="51">
        <v>139205</v>
      </c>
    </row>
    <row r="15" spans="1:3">
      <c r="A15" s="57">
        <v>12</v>
      </c>
      <c r="B15" s="50" t="s">
        <v>79</v>
      </c>
      <c r="C15" s="51">
        <v>127573</v>
      </c>
    </row>
    <row r="16" spans="1:3">
      <c r="A16" s="57">
        <v>13</v>
      </c>
      <c r="B16" s="50" t="s">
        <v>80</v>
      </c>
      <c r="C16" s="51">
        <v>122504</v>
      </c>
    </row>
    <row r="17" spans="1:3">
      <c r="A17" s="57">
        <v>14</v>
      </c>
      <c r="B17" s="50" t="s">
        <v>81</v>
      </c>
      <c r="C17" s="51">
        <v>109116</v>
      </c>
    </row>
    <row r="18" spans="1:3">
      <c r="A18" s="57">
        <v>15</v>
      </c>
      <c r="B18" s="50" t="s">
        <v>82</v>
      </c>
      <c r="C18" s="51">
        <v>106177</v>
      </c>
    </row>
    <row r="19" spans="1:3">
      <c r="A19" s="57">
        <v>16</v>
      </c>
      <c r="B19" s="50" t="s">
        <v>83</v>
      </c>
      <c r="C19" s="51">
        <v>99921</v>
      </c>
    </row>
    <row r="20" spans="1:3">
      <c r="A20" s="57">
        <v>17</v>
      </c>
      <c r="B20" s="52" t="s">
        <v>84</v>
      </c>
      <c r="C20" s="51">
        <v>88107</v>
      </c>
    </row>
    <row r="21" spans="1:3">
      <c r="A21" s="57">
        <v>18</v>
      </c>
      <c r="B21" s="50" t="s">
        <v>85</v>
      </c>
      <c r="C21" s="51">
        <v>70628</v>
      </c>
    </row>
    <row r="22" spans="1:3">
      <c r="A22" s="57">
        <v>19</v>
      </c>
      <c r="B22" s="50" t="s">
        <v>86</v>
      </c>
      <c r="C22" s="51">
        <v>66442</v>
      </c>
    </row>
    <row r="23" spans="1:3">
      <c r="A23" s="57">
        <v>20</v>
      </c>
      <c r="B23" s="50" t="s">
        <v>87</v>
      </c>
      <c r="C23" s="51">
        <v>63006</v>
      </c>
    </row>
    <row r="24" spans="1:3">
      <c r="A24" s="57">
        <v>21</v>
      </c>
      <c r="B24" s="50" t="s">
        <v>88</v>
      </c>
      <c r="C24" s="51">
        <v>46015</v>
      </c>
    </row>
    <row r="25" spans="1:3">
      <c r="A25" s="57">
        <v>22</v>
      </c>
      <c r="B25" s="50" t="s">
        <v>89</v>
      </c>
      <c r="C25" s="51">
        <v>43989</v>
      </c>
    </row>
    <row r="26" spans="1:3">
      <c r="A26" s="57">
        <v>23</v>
      </c>
      <c r="B26" s="50" t="s">
        <v>90</v>
      </c>
      <c r="C26" s="51">
        <v>41704</v>
      </c>
    </row>
    <row r="27" spans="1:3">
      <c r="A27" s="57">
        <v>24</v>
      </c>
      <c r="B27" s="50" t="s">
        <v>91</v>
      </c>
      <c r="C27" s="51">
        <v>24133</v>
      </c>
    </row>
    <row r="28" spans="1:3">
      <c r="A28" s="57">
        <v>25</v>
      </c>
      <c r="B28" s="50" t="s">
        <v>92</v>
      </c>
      <c r="C28" s="51">
        <v>17630</v>
      </c>
    </row>
    <row r="29" spans="1:3">
      <c r="A29" s="57">
        <v>26</v>
      </c>
      <c r="B29" s="50" t="s">
        <v>93</v>
      </c>
      <c r="C29" s="51">
        <v>14400</v>
      </c>
    </row>
    <row r="30" spans="1:3">
      <c r="A30" s="57">
        <v>27</v>
      </c>
      <c r="B30" s="50" t="s">
        <v>94</v>
      </c>
      <c r="C30" s="51">
        <v>12840</v>
      </c>
    </row>
    <row r="31" spans="1:3">
      <c r="A31" s="57">
        <v>28</v>
      </c>
      <c r="B31" s="50" t="s">
        <v>95</v>
      </c>
      <c r="C31" s="51">
        <v>12777</v>
      </c>
    </row>
    <row r="32" spans="1:3">
      <c r="A32" s="57">
        <v>29</v>
      </c>
      <c r="B32" s="50" t="s">
        <v>96</v>
      </c>
      <c r="C32" s="51">
        <v>8636</v>
      </c>
    </row>
    <row r="33" spans="1:3">
      <c r="A33" s="57">
        <v>30</v>
      </c>
      <c r="B33" s="50" t="s">
        <v>97</v>
      </c>
      <c r="C33" s="51">
        <v>6000</v>
      </c>
    </row>
    <row r="34" spans="1:3">
      <c r="A34" s="57">
        <v>31</v>
      </c>
      <c r="B34" s="50" t="s">
        <v>98</v>
      </c>
      <c r="C34" s="51">
        <v>2100</v>
      </c>
    </row>
    <row r="35" spans="1:3">
      <c r="A35" s="57">
        <v>32</v>
      </c>
      <c r="B35" s="50" t="s">
        <v>99</v>
      </c>
      <c r="C35" s="51">
        <v>800</v>
      </c>
    </row>
    <row r="36" spans="1:3">
      <c r="A36" s="57">
        <v>33</v>
      </c>
      <c r="B36" s="53" t="s">
        <v>100</v>
      </c>
      <c r="C36" s="54">
        <v>519533</v>
      </c>
    </row>
    <row r="37" spans="1:3">
      <c r="A37" s="48" t="s">
        <v>101</v>
      </c>
      <c r="B37" s="55"/>
      <c r="C37" s="56">
        <f>SUM(C4:C36)</f>
        <v>6664545</v>
      </c>
    </row>
  </sheetData>
  <mergeCells count="1">
    <mergeCell ref="A1:C1"/>
  </mergeCells>
  <phoneticPr fontId="3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IQ681"/>
  <sheetViews>
    <sheetView tabSelected="1" workbookViewId="0">
      <selection activeCell="D13" sqref="D13"/>
    </sheetView>
  </sheetViews>
  <sheetFormatPr defaultRowHeight="13.5"/>
  <cols>
    <col min="1" max="1" width="9" style="123"/>
    <col min="2" max="3" width="19" style="123" customWidth="1"/>
    <col min="4" max="6" width="9" style="123"/>
    <col min="7" max="7" width="9.375" style="123" bestFit="1" customWidth="1"/>
    <col min="8" max="8" width="9" style="123"/>
    <col min="9" max="9" width="14" style="123" customWidth="1"/>
    <col min="10" max="16384" width="9" style="123"/>
  </cols>
  <sheetData>
    <row r="1" spans="1:249" s="60" customFormat="1" ht="30" customHeight="1">
      <c r="A1" s="59" t="s">
        <v>102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</row>
    <row r="2" spans="1:249" s="70" customFormat="1" ht="29.25" customHeight="1">
      <c r="A2" s="61" t="s">
        <v>103</v>
      </c>
      <c r="B2" s="62" t="s">
        <v>104</v>
      </c>
      <c r="C2" s="62" t="s">
        <v>105</v>
      </c>
      <c r="D2" s="62" t="s">
        <v>106</v>
      </c>
      <c r="E2" s="63" t="s">
        <v>107</v>
      </c>
      <c r="F2" s="64" t="s">
        <v>108</v>
      </c>
      <c r="G2" s="65" t="s">
        <v>109</v>
      </c>
      <c r="H2" s="66" t="s">
        <v>110</v>
      </c>
      <c r="I2" s="66" t="s">
        <v>111</v>
      </c>
      <c r="J2" s="67" t="s">
        <v>112</v>
      </c>
      <c r="K2" s="68" t="s">
        <v>113</v>
      </c>
      <c r="L2" s="68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  <c r="DK2" s="69"/>
      <c r="DL2" s="69"/>
      <c r="DM2" s="69"/>
      <c r="DN2" s="69"/>
      <c r="DO2" s="69"/>
      <c r="DP2" s="69"/>
      <c r="DQ2" s="69"/>
      <c r="DR2" s="69"/>
      <c r="DS2" s="69"/>
      <c r="DT2" s="69"/>
      <c r="DU2" s="69"/>
      <c r="DV2" s="69"/>
      <c r="DW2" s="69"/>
      <c r="DX2" s="69"/>
      <c r="DY2" s="69"/>
      <c r="DZ2" s="69"/>
      <c r="EA2" s="69"/>
      <c r="EB2" s="69"/>
      <c r="EC2" s="69"/>
      <c r="ED2" s="69"/>
      <c r="EE2" s="69"/>
      <c r="EF2" s="69"/>
      <c r="EG2" s="69"/>
      <c r="EH2" s="69"/>
      <c r="EI2" s="69"/>
      <c r="EJ2" s="69"/>
      <c r="EK2" s="69"/>
      <c r="EL2" s="69"/>
      <c r="EM2" s="69"/>
      <c r="EN2" s="69"/>
      <c r="EO2" s="69"/>
      <c r="EP2" s="69"/>
      <c r="EQ2" s="69"/>
      <c r="ER2" s="69"/>
      <c r="ES2" s="69"/>
      <c r="ET2" s="69"/>
      <c r="EU2" s="69"/>
      <c r="EV2" s="69"/>
      <c r="EW2" s="69"/>
      <c r="EX2" s="69"/>
      <c r="EY2" s="69"/>
      <c r="EZ2" s="69"/>
      <c r="FA2" s="69"/>
      <c r="FB2" s="69"/>
      <c r="FC2" s="69"/>
      <c r="FD2" s="69"/>
      <c r="FE2" s="69"/>
      <c r="FF2" s="69"/>
      <c r="FG2" s="69"/>
      <c r="FH2" s="69"/>
      <c r="FI2" s="69"/>
      <c r="FJ2" s="69"/>
      <c r="FK2" s="69"/>
      <c r="FL2" s="69"/>
      <c r="FM2" s="69"/>
      <c r="FN2" s="69"/>
      <c r="FO2" s="69"/>
      <c r="FP2" s="69"/>
      <c r="FQ2" s="69"/>
      <c r="FR2" s="69"/>
      <c r="FS2" s="69"/>
      <c r="FT2" s="69"/>
      <c r="FU2" s="69"/>
      <c r="FV2" s="69"/>
      <c r="FW2" s="69"/>
      <c r="FX2" s="69"/>
      <c r="FY2" s="69"/>
      <c r="FZ2" s="69"/>
      <c r="GA2" s="69"/>
      <c r="GB2" s="69"/>
      <c r="GC2" s="69"/>
      <c r="GD2" s="69"/>
      <c r="GE2" s="69"/>
      <c r="GF2" s="69"/>
      <c r="GG2" s="69"/>
      <c r="GH2" s="69"/>
      <c r="GI2" s="69"/>
      <c r="GJ2" s="69"/>
      <c r="GK2" s="69"/>
      <c r="GL2" s="69"/>
      <c r="GM2" s="69"/>
      <c r="GN2" s="69"/>
      <c r="GO2" s="69"/>
      <c r="GP2" s="69"/>
      <c r="GQ2" s="69"/>
      <c r="GR2" s="69"/>
      <c r="GS2" s="69"/>
      <c r="GT2" s="69"/>
      <c r="GU2" s="69"/>
      <c r="GV2" s="69"/>
      <c r="GW2" s="69"/>
      <c r="GX2" s="69"/>
      <c r="GY2" s="69"/>
      <c r="GZ2" s="69"/>
      <c r="HA2" s="69"/>
      <c r="HB2" s="69"/>
      <c r="HC2" s="69"/>
      <c r="HD2" s="69"/>
      <c r="HE2" s="69"/>
      <c r="HF2" s="69"/>
      <c r="HG2" s="69"/>
      <c r="HH2" s="69"/>
      <c r="HI2" s="69"/>
      <c r="HJ2" s="69"/>
      <c r="HK2" s="69"/>
      <c r="HL2" s="69"/>
      <c r="HM2" s="69"/>
      <c r="HN2" s="69"/>
      <c r="HO2" s="69"/>
      <c r="HP2" s="69"/>
      <c r="HQ2" s="69"/>
      <c r="HR2" s="69"/>
      <c r="HS2" s="69"/>
      <c r="HT2" s="69"/>
      <c r="HU2" s="69"/>
      <c r="HV2" s="69"/>
      <c r="HW2" s="69"/>
      <c r="HX2" s="69"/>
      <c r="HY2" s="69"/>
      <c r="HZ2" s="69"/>
      <c r="IA2" s="69"/>
      <c r="IB2" s="69"/>
      <c r="IC2" s="69"/>
      <c r="ID2" s="69"/>
      <c r="IE2" s="69"/>
      <c r="IF2" s="69"/>
      <c r="IG2" s="69"/>
      <c r="IH2" s="69"/>
      <c r="II2" s="69"/>
      <c r="IJ2" s="69"/>
      <c r="IK2" s="69"/>
      <c r="IL2" s="69"/>
      <c r="IM2" s="69"/>
      <c r="IN2" s="69"/>
      <c r="IO2" s="69"/>
    </row>
    <row r="3" spans="1:249" s="79" customFormat="1" ht="17.25" customHeight="1">
      <c r="A3" s="71">
        <v>42426</v>
      </c>
      <c r="B3" s="72" t="s">
        <v>114</v>
      </c>
      <c r="C3" s="72" t="s">
        <v>25</v>
      </c>
      <c r="D3" s="72" t="s">
        <v>115</v>
      </c>
      <c r="E3" s="72" t="s">
        <v>116</v>
      </c>
      <c r="F3" s="72" t="s">
        <v>117</v>
      </c>
      <c r="G3" s="73">
        <v>42500</v>
      </c>
      <c r="H3" s="74">
        <v>6.5</v>
      </c>
      <c r="I3" s="75">
        <f t="shared" ref="I3:I16" si="0">G3*H3</f>
        <v>276250</v>
      </c>
      <c r="J3" s="72" t="s">
        <v>118</v>
      </c>
      <c r="K3" s="76">
        <v>42522</v>
      </c>
      <c r="L3" s="77" t="s">
        <v>119</v>
      </c>
      <c r="M3" s="78"/>
    </row>
    <row r="4" spans="1:249" s="79" customFormat="1" ht="17.25" customHeight="1">
      <c r="A4" s="71">
        <v>42432</v>
      </c>
      <c r="B4" s="72" t="s">
        <v>114</v>
      </c>
      <c r="C4" s="72" t="s">
        <v>25</v>
      </c>
      <c r="D4" s="72" t="s">
        <v>120</v>
      </c>
      <c r="E4" s="72" t="s">
        <v>116</v>
      </c>
      <c r="F4" s="72"/>
      <c r="G4" s="73">
        <v>4</v>
      </c>
      <c r="H4" s="74">
        <v>6.3</v>
      </c>
      <c r="I4" s="75">
        <f t="shared" si="0"/>
        <v>25.2</v>
      </c>
      <c r="J4" s="72" t="s">
        <v>118</v>
      </c>
      <c r="K4" s="76">
        <v>42522</v>
      </c>
      <c r="L4" s="72" t="s">
        <v>119</v>
      </c>
      <c r="M4" s="78"/>
    </row>
    <row r="5" spans="1:249" s="79" customFormat="1" ht="17.25" customHeight="1">
      <c r="A5" s="71">
        <v>42432</v>
      </c>
      <c r="B5" s="72" t="s">
        <v>114</v>
      </c>
      <c r="C5" s="80" t="s">
        <v>121</v>
      </c>
      <c r="D5" s="72" t="s">
        <v>122</v>
      </c>
      <c r="E5" s="72" t="s">
        <v>123</v>
      </c>
      <c r="F5" s="72" t="s">
        <v>117</v>
      </c>
      <c r="G5" s="73">
        <v>24907</v>
      </c>
      <c r="H5" s="74">
        <v>4.8</v>
      </c>
      <c r="I5" s="75">
        <f t="shared" si="0"/>
        <v>119553.59999999999</v>
      </c>
      <c r="J5" s="72" t="s">
        <v>124</v>
      </c>
      <c r="K5" s="76">
        <v>42515</v>
      </c>
      <c r="L5" s="72" t="s">
        <v>119</v>
      </c>
      <c r="M5" s="78"/>
    </row>
    <row r="6" spans="1:249" s="79" customFormat="1" ht="17.25" customHeight="1">
      <c r="A6" s="71">
        <v>42347</v>
      </c>
      <c r="B6" s="81" t="s">
        <v>114</v>
      </c>
      <c r="C6" s="82" t="s">
        <v>125</v>
      </c>
      <c r="D6" s="72" t="s">
        <v>126</v>
      </c>
      <c r="E6" s="72" t="s">
        <v>127</v>
      </c>
      <c r="F6" s="72" t="s">
        <v>128</v>
      </c>
      <c r="G6" s="73">
        <v>2710</v>
      </c>
      <c r="H6" s="74">
        <v>5.75</v>
      </c>
      <c r="I6" s="83">
        <f t="shared" si="0"/>
        <v>15582.5</v>
      </c>
      <c r="J6" s="84" t="s">
        <v>129</v>
      </c>
      <c r="K6" s="85">
        <v>42475</v>
      </c>
      <c r="L6" s="72" t="s">
        <v>130</v>
      </c>
      <c r="M6" s="78"/>
    </row>
    <row r="7" spans="1:249" s="79" customFormat="1" ht="17.25" customHeight="1">
      <c r="A7" s="71">
        <v>42347</v>
      </c>
      <c r="B7" s="81" t="s">
        <v>114</v>
      </c>
      <c r="C7" s="82" t="s">
        <v>125</v>
      </c>
      <c r="D7" s="72" t="s">
        <v>131</v>
      </c>
      <c r="E7" s="72" t="s">
        <v>127</v>
      </c>
      <c r="F7" s="72" t="s">
        <v>128</v>
      </c>
      <c r="G7" s="73">
        <v>400</v>
      </c>
      <c r="H7" s="74">
        <v>5.75</v>
      </c>
      <c r="I7" s="83">
        <f t="shared" si="0"/>
        <v>2300</v>
      </c>
      <c r="J7" s="84" t="s">
        <v>129</v>
      </c>
      <c r="K7" s="85">
        <v>42475</v>
      </c>
      <c r="L7" s="72" t="s">
        <v>130</v>
      </c>
      <c r="M7" s="78"/>
    </row>
    <row r="8" spans="1:249" s="79" customFormat="1" ht="17.25" customHeight="1">
      <c r="A8" s="71">
        <v>42347</v>
      </c>
      <c r="B8" s="81" t="s">
        <v>114</v>
      </c>
      <c r="C8" s="82" t="s">
        <v>125</v>
      </c>
      <c r="D8" s="72" t="s">
        <v>132</v>
      </c>
      <c r="E8" s="72" t="s">
        <v>127</v>
      </c>
      <c r="F8" s="72" t="s">
        <v>128</v>
      </c>
      <c r="G8" s="73">
        <v>16</v>
      </c>
      <c r="H8" s="74">
        <v>5.75</v>
      </c>
      <c r="I8" s="83">
        <f t="shared" si="0"/>
        <v>92</v>
      </c>
      <c r="J8" s="84" t="s">
        <v>129</v>
      </c>
      <c r="K8" s="85">
        <v>42475</v>
      </c>
      <c r="L8" s="72" t="s">
        <v>130</v>
      </c>
      <c r="M8" s="78"/>
    </row>
    <row r="9" spans="1:249" s="79" customFormat="1" ht="17.25" customHeight="1">
      <c r="A9" s="71">
        <v>42392</v>
      </c>
      <c r="B9" s="81" t="s">
        <v>114</v>
      </c>
      <c r="C9" s="82" t="s">
        <v>133</v>
      </c>
      <c r="D9" s="72" t="s">
        <v>134</v>
      </c>
      <c r="E9" s="72" t="s">
        <v>135</v>
      </c>
      <c r="F9" s="72" t="s">
        <v>117</v>
      </c>
      <c r="G9" s="86">
        <v>51189</v>
      </c>
      <c r="H9" s="74">
        <v>3.32</v>
      </c>
      <c r="I9" s="83">
        <f t="shared" si="0"/>
        <v>169947.47999999998</v>
      </c>
      <c r="J9" s="72" t="s">
        <v>136</v>
      </c>
      <c r="K9" s="76">
        <v>42494</v>
      </c>
      <c r="L9" s="72" t="s">
        <v>130</v>
      </c>
      <c r="M9" s="78"/>
    </row>
    <row r="10" spans="1:249" s="79" customFormat="1" ht="17.25" customHeight="1">
      <c r="A10" s="71">
        <v>42392</v>
      </c>
      <c r="B10" s="81" t="s">
        <v>114</v>
      </c>
      <c r="C10" s="82" t="s">
        <v>133</v>
      </c>
      <c r="D10" s="72" t="s">
        <v>134</v>
      </c>
      <c r="E10" s="72" t="s">
        <v>135</v>
      </c>
      <c r="F10" s="72" t="s">
        <v>117</v>
      </c>
      <c r="G10" s="86">
        <v>27564</v>
      </c>
      <c r="H10" s="74">
        <v>3.56</v>
      </c>
      <c r="I10" s="83">
        <f t="shared" si="0"/>
        <v>98127.84</v>
      </c>
      <c r="J10" s="72" t="s">
        <v>136</v>
      </c>
      <c r="K10" s="76">
        <v>42494</v>
      </c>
      <c r="L10" s="72" t="s">
        <v>130</v>
      </c>
      <c r="M10" s="78"/>
    </row>
    <row r="11" spans="1:249" s="79" customFormat="1" ht="17.25" customHeight="1">
      <c r="A11" s="71">
        <v>42403</v>
      </c>
      <c r="B11" s="81" t="s">
        <v>114</v>
      </c>
      <c r="C11" s="82" t="s">
        <v>125</v>
      </c>
      <c r="D11" s="72" t="s">
        <v>137</v>
      </c>
      <c r="E11" s="72" t="s">
        <v>138</v>
      </c>
      <c r="F11" s="72" t="s">
        <v>139</v>
      </c>
      <c r="G11" s="86">
        <v>5000</v>
      </c>
      <c r="H11" s="74">
        <v>5</v>
      </c>
      <c r="I11" s="83">
        <f t="shared" si="0"/>
        <v>25000</v>
      </c>
      <c r="J11" s="72" t="s">
        <v>140</v>
      </c>
      <c r="K11" s="76">
        <v>42507</v>
      </c>
      <c r="L11" s="72" t="s">
        <v>130</v>
      </c>
      <c r="M11" s="78"/>
    </row>
    <row r="12" spans="1:249" s="79" customFormat="1" ht="17.25" customHeight="1">
      <c r="A12" s="71">
        <v>42403</v>
      </c>
      <c r="B12" s="81" t="s">
        <v>114</v>
      </c>
      <c r="C12" s="82" t="s">
        <v>125</v>
      </c>
      <c r="D12" s="72" t="s">
        <v>141</v>
      </c>
      <c r="E12" s="72" t="s">
        <v>138</v>
      </c>
      <c r="F12" s="72" t="s">
        <v>139</v>
      </c>
      <c r="G12" s="86">
        <v>5000</v>
      </c>
      <c r="H12" s="74">
        <v>5.25</v>
      </c>
      <c r="I12" s="83">
        <f t="shared" si="0"/>
        <v>26250</v>
      </c>
      <c r="J12" s="72" t="s">
        <v>140</v>
      </c>
      <c r="K12" s="76">
        <v>42507</v>
      </c>
      <c r="L12" s="72" t="s">
        <v>130</v>
      </c>
      <c r="M12" s="78"/>
    </row>
    <row r="13" spans="1:249" s="79" customFormat="1" ht="17.25" customHeight="1">
      <c r="A13" s="71">
        <v>42403</v>
      </c>
      <c r="B13" s="81" t="s">
        <v>114</v>
      </c>
      <c r="C13" s="82" t="s">
        <v>125</v>
      </c>
      <c r="D13" s="72" t="s">
        <v>142</v>
      </c>
      <c r="E13" s="72" t="s">
        <v>143</v>
      </c>
      <c r="F13" s="72" t="s">
        <v>139</v>
      </c>
      <c r="G13" s="86">
        <v>5000</v>
      </c>
      <c r="H13" s="74">
        <v>5</v>
      </c>
      <c r="I13" s="83">
        <f t="shared" si="0"/>
        <v>25000</v>
      </c>
      <c r="J13" s="72" t="s">
        <v>140</v>
      </c>
      <c r="K13" s="76">
        <v>42507</v>
      </c>
      <c r="L13" s="87" t="s">
        <v>130</v>
      </c>
      <c r="M13" s="78"/>
    </row>
    <row r="14" spans="1:249" s="79" customFormat="1" ht="17.25" customHeight="1">
      <c r="A14" s="71">
        <v>42403</v>
      </c>
      <c r="B14" s="81" t="s">
        <v>114</v>
      </c>
      <c r="C14" s="82" t="s">
        <v>125</v>
      </c>
      <c r="D14" s="72" t="s">
        <v>144</v>
      </c>
      <c r="E14" s="72" t="s">
        <v>143</v>
      </c>
      <c r="F14" s="72" t="s">
        <v>139</v>
      </c>
      <c r="G14" s="86">
        <v>5000</v>
      </c>
      <c r="H14" s="74">
        <v>5.35</v>
      </c>
      <c r="I14" s="83">
        <f t="shared" si="0"/>
        <v>26750</v>
      </c>
      <c r="J14" s="72" t="s">
        <v>140</v>
      </c>
      <c r="K14" s="76">
        <v>42507</v>
      </c>
      <c r="L14" s="88" t="s">
        <v>130</v>
      </c>
      <c r="M14" s="78"/>
    </row>
    <row r="15" spans="1:249" s="79" customFormat="1" ht="17.25" customHeight="1">
      <c r="A15" s="71">
        <v>42406</v>
      </c>
      <c r="B15" s="81" t="s">
        <v>114</v>
      </c>
      <c r="C15" s="82" t="s">
        <v>125</v>
      </c>
      <c r="D15" s="72" t="s">
        <v>145</v>
      </c>
      <c r="E15" s="72" t="s">
        <v>146</v>
      </c>
      <c r="F15" s="72" t="s">
        <v>139</v>
      </c>
      <c r="G15" s="86">
        <v>1500</v>
      </c>
      <c r="H15" s="74">
        <v>4.75</v>
      </c>
      <c r="I15" s="83">
        <f t="shared" si="0"/>
        <v>7125</v>
      </c>
      <c r="J15" s="72" t="s">
        <v>140</v>
      </c>
      <c r="K15" s="76">
        <v>42513</v>
      </c>
      <c r="L15" s="88" t="s">
        <v>130</v>
      </c>
      <c r="M15" s="78"/>
    </row>
    <row r="16" spans="1:249" s="79" customFormat="1" ht="17.25" customHeight="1">
      <c r="A16" s="71">
        <v>42419</v>
      </c>
      <c r="B16" s="81" t="s">
        <v>114</v>
      </c>
      <c r="C16" s="82" t="s">
        <v>125</v>
      </c>
      <c r="D16" s="72" t="s">
        <v>147</v>
      </c>
      <c r="E16" s="72" t="s">
        <v>148</v>
      </c>
      <c r="F16" s="72" t="s">
        <v>149</v>
      </c>
      <c r="G16" s="86">
        <v>1500</v>
      </c>
      <c r="H16" s="74">
        <v>6.55</v>
      </c>
      <c r="I16" s="83">
        <f t="shared" si="0"/>
        <v>9825</v>
      </c>
      <c r="J16" s="72" t="s">
        <v>140</v>
      </c>
      <c r="K16" s="76">
        <v>42508</v>
      </c>
      <c r="L16" s="88" t="s">
        <v>130</v>
      </c>
      <c r="M16" s="78"/>
    </row>
    <row r="17" spans="1:13" s="79" customFormat="1" ht="17.25" customHeight="1">
      <c r="A17" s="89">
        <v>42382</v>
      </c>
      <c r="B17" s="72" t="s">
        <v>150</v>
      </c>
      <c r="C17" s="72" t="s">
        <v>151</v>
      </c>
      <c r="D17" s="72" t="s">
        <v>152</v>
      </c>
      <c r="E17" s="72" t="s">
        <v>153</v>
      </c>
      <c r="F17" s="72" t="s">
        <v>154</v>
      </c>
      <c r="G17" s="90">
        <v>20262</v>
      </c>
      <c r="H17" s="74">
        <v>3.65</v>
      </c>
      <c r="I17" s="83">
        <f t="shared" ref="I17:I26" si="1">G17*H17</f>
        <v>73956.3</v>
      </c>
      <c r="J17" s="72" t="s">
        <v>155</v>
      </c>
      <c r="K17" s="76">
        <v>42482</v>
      </c>
      <c r="L17" s="88" t="s">
        <v>130</v>
      </c>
      <c r="M17" s="78"/>
    </row>
    <row r="18" spans="1:13" s="79" customFormat="1" ht="17.25" customHeight="1">
      <c r="A18" s="89">
        <v>42415</v>
      </c>
      <c r="B18" s="72" t="s">
        <v>150</v>
      </c>
      <c r="C18" s="72" t="s">
        <v>151</v>
      </c>
      <c r="D18" s="72" t="s">
        <v>156</v>
      </c>
      <c r="E18" s="72" t="s">
        <v>153</v>
      </c>
      <c r="F18" s="72" t="s">
        <v>154</v>
      </c>
      <c r="G18" s="90">
        <v>4578</v>
      </c>
      <c r="H18" s="74">
        <v>3.65</v>
      </c>
      <c r="I18" s="83">
        <f t="shared" si="1"/>
        <v>16709.7</v>
      </c>
      <c r="J18" s="72" t="s">
        <v>124</v>
      </c>
      <c r="K18" s="76">
        <v>42510</v>
      </c>
      <c r="L18" s="88" t="s">
        <v>130</v>
      </c>
      <c r="M18" s="78"/>
    </row>
    <row r="19" spans="1:13" s="79" customFormat="1" ht="17.25" customHeight="1">
      <c r="A19" s="89">
        <v>42415</v>
      </c>
      <c r="B19" s="72" t="s">
        <v>150</v>
      </c>
      <c r="C19" s="72" t="s">
        <v>151</v>
      </c>
      <c r="D19" s="72" t="s">
        <v>157</v>
      </c>
      <c r="E19" s="72" t="s">
        <v>153</v>
      </c>
      <c r="F19" s="72" t="s">
        <v>154</v>
      </c>
      <c r="G19" s="90">
        <v>8046</v>
      </c>
      <c r="H19" s="74">
        <v>3.65</v>
      </c>
      <c r="I19" s="83">
        <f t="shared" si="1"/>
        <v>29367.899999999998</v>
      </c>
      <c r="J19" s="72" t="s">
        <v>158</v>
      </c>
      <c r="K19" s="76">
        <v>42545</v>
      </c>
      <c r="L19" s="88" t="s">
        <v>130</v>
      </c>
      <c r="M19" s="78"/>
    </row>
    <row r="20" spans="1:13" s="79" customFormat="1" ht="17.25" customHeight="1">
      <c r="A20" s="89">
        <v>42415</v>
      </c>
      <c r="B20" s="72" t="s">
        <v>150</v>
      </c>
      <c r="C20" s="72" t="s">
        <v>151</v>
      </c>
      <c r="D20" s="72" t="s">
        <v>159</v>
      </c>
      <c r="E20" s="72" t="s">
        <v>153</v>
      </c>
      <c r="F20" s="72" t="s">
        <v>154</v>
      </c>
      <c r="G20" s="90">
        <v>65388</v>
      </c>
      <c r="H20" s="74">
        <v>3.65</v>
      </c>
      <c r="I20" s="83">
        <f t="shared" si="1"/>
        <v>238666.19999999998</v>
      </c>
      <c r="J20" s="72" t="s">
        <v>155</v>
      </c>
      <c r="K20" s="76">
        <v>42482</v>
      </c>
      <c r="L20" s="88" t="s">
        <v>130</v>
      </c>
      <c r="M20" s="78"/>
    </row>
    <row r="21" spans="1:13" s="79" customFormat="1" ht="17.25" customHeight="1">
      <c r="A21" s="89">
        <v>42415</v>
      </c>
      <c r="B21" s="72" t="s">
        <v>150</v>
      </c>
      <c r="C21" s="72" t="s">
        <v>151</v>
      </c>
      <c r="D21" s="72" t="s">
        <v>160</v>
      </c>
      <c r="E21" s="72" t="s">
        <v>153</v>
      </c>
      <c r="F21" s="72" t="s">
        <v>154</v>
      </c>
      <c r="G21" s="90">
        <v>52416</v>
      </c>
      <c r="H21" s="74">
        <v>3.65</v>
      </c>
      <c r="I21" s="83">
        <f t="shared" si="1"/>
        <v>191318.39999999999</v>
      </c>
      <c r="J21" s="72" t="s">
        <v>124</v>
      </c>
      <c r="K21" s="76">
        <v>42510</v>
      </c>
      <c r="L21" s="88" t="s">
        <v>130</v>
      </c>
      <c r="M21" s="78"/>
    </row>
    <row r="22" spans="1:13" s="79" customFormat="1" ht="17.25" customHeight="1">
      <c r="A22" s="89">
        <v>42415</v>
      </c>
      <c r="B22" s="72" t="s">
        <v>150</v>
      </c>
      <c r="C22" s="72" t="s">
        <v>151</v>
      </c>
      <c r="D22" s="72" t="s">
        <v>161</v>
      </c>
      <c r="E22" s="72" t="s">
        <v>153</v>
      </c>
      <c r="F22" s="72" t="s">
        <v>154</v>
      </c>
      <c r="G22" s="90">
        <v>20184</v>
      </c>
      <c r="H22" s="74">
        <v>3.65</v>
      </c>
      <c r="I22" s="83">
        <f t="shared" si="1"/>
        <v>73671.599999999991</v>
      </c>
      <c r="J22" s="72" t="s">
        <v>158</v>
      </c>
      <c r="K22" s="76">
        <v>42545</v>
      </c>
      <c r="L22" s="88" t="s">
        <v>130</v>
      </c>
      <c r="M22" s="78"/>
    </row>
    <row r="23" spans="1:13" s="79" customFormat="1" ht="17.25" customHeight="1">
      <c r="A23" s="89">
        <v>42415</v>
      </c>
      <c r="B23" s="72" t="s">
        <v>150</v>
      </c>
      <c r="C23" s="72" t="s">
        <v>151</v>
      </c>
      <c r="D23" s="72" t="s">
        <v>162</v>
      </c>
      <c r="E23" s="72" t="s">
        <v>153</v>
      </c>
      <c r="F23" s="72" t="s">
        <v>154</v>
      </c>
      <c r="G23" s="90">
        <v>23124</v>
      </c>
      <c r="H23" s="74">
        <v>3.65</v>
      </c>
      <c r="I23" s="83">
        <f t="shared" si="1"/>
        <v>84402.599999999991</v>
      </c>
      <c r="J23" s="72" t="s">
        <v>155</v>
      </c>
      <c r="K23" s="76">
        <v>42482</v>
      </c>
      <c r="L23" s="88" t="s">
        <v>130</v>
      </c>
      <c r="M23" s="78"/>
    </row>
    <row r="24" spans="1:13" s="79" customFormat="1" ht="17.25" customHeight="1">
      <c r="A24" s="89">
        <v>42415</v>
      </c>
      <c r="B24" s="72" t="s">
        <v>150</v>
      </c>
      <c r="C24" s="72" t="s">
        <v>151</v>
      </c>
      <c r="D24" s="72" t="s">
        <v>163</v>
      </c>
      <c r="E24" s="72" t="s">
        <v>153</v>
      </c>
      <c r="F24" s="72" t="s">
        <v>154</v>
      </c>
      <c r="G24" s="90">
        <v>13272</v>
      </c>
      <c r="H24" s="74">
        <v>3.65</v>
      </c>
      <c r="I24" s="83">
        <f t="shared" si="1"/>
        <v>48442.799999999996</v>
      </c>
      <c r="J24" s="72" t="s">
        <v>136</v>
      </c>
      <c r="K24" s="76">
        <v>42496</v>
      </c>
      <c r="L24" s="88" t="s">
        <v>130</v>
      </c>
      <c r="M24" s="78"/>
    </row>
    <row r="25" spans="1:13" s="79" customFormat="1" ht="17.25" customHeight="1">
      <c r="A25" s="89">
        <v>42415</v>
      </c>
      <c r="B25" s="72" t="s">
        <v>150</v>
      </c>
      <c r="C25" s="72" t="s">
        <v>151</v>
      </c>
      <c r="D25" s="72" t="s">
        <v>164</v>
      </c>
      <c r="E25" s="72" t="s">
        <v>153</v>
      </c>
      <c r="F25" s="72" t="s">
        <v>154</v>
      </c>
      <c r="G25" s="90">
        <v>37572</v>
      </c>
      <c r="H25" s="74">
        <v>3.65</v>
      </c>
      <c r="I25" s="83">
        <f t="shared" si="1"/>
        <v>137137.79999999999</v>
      </c>
      <c r="J25" s="72" t="s">
        <v>165</v>
      </c>
      <c r="K25" s="76">
        <v>42524</v>
      </c>
      <c r="L25" s="88" t="s">
        <v>130</v>
      </c>
      <c r="M25" s="78"/>
    </row>
    <row r="26" spans="1:13" s="79" customFormat="1" ht="17.25" customHeight="1">
      <c r="A26" s="89">
        <v>42415</v>
      </c>
      <c r="B26" s="72" t="s">
        <v>150</v>
      </c>
      <c r="C26" s="72" t="s">
        <v>151</v>
      </c>
      <c r="D26" s="72" t="s">
        <v>166</v>
      </c>
      <c r="E26" s="72" t="s">
        <v>153</v>
      </c>
      <c r="F26" s="72" t="s">
        <v>154</v>
      </c>
      <c r="G26" s="90">
        <v>30648</v>
      </c>
      <c r="H26" s="74">
        <v>3.65</v>
      </c>
      <c r="I26" s="83">
        <f t="shared" si="1"/>
        <v>111865.2</v>
      </c>
      <c r="J26" s="72" t="s">
        <v>167</v>
      </c>
      <c r="K26" s="76">
        <v>42559</v>
      </c>
      <c r="L26" s="88" t="s">
        <v>130</v>
      </c>
      <c r="M26" s="78"/>
    </row>
    <row r="27" spans="1:13" s="79" customFormat="1" ht="17.25" customHeight="1">
      <c r="A27" s="71">
        <v>42354</v>
      </c>
      <c r="B27" s="72" t="s">
        <v>168</v>
      </c>
      <c r="C27" s="72" t="s">
        <v>25</v>
      </c>
      <c r="D27" s="72" t="s">
        <v>169</v>
      </c>
      <c r="E27" s="72" t="s">
        <v>170</v>
      </c>
      <c r="F27" s="72" t="s">
        <v>117</v>
      </c>
      <c r="G27" s="73">
        <v>540</v>
      </c>
      <c r="H27" s="74">
        <v>4.9000000000000004</v>
      </c>
      <c r="I27" s="75">
        <f t="shared" ref="I27:I90" si="2">G27*H27</f>
        <v>2646</v>
      </c>
      <c r="J27" s="72" t="s">
        <v>171</v>
      </c>
      <c r="K27" s="76">
        <v>42468</v>
      </c>
      <c r="L27" s="88" t="s">
        <v>130</v>
      </c>
      <c r="M27" s="78"/>
    </row>
    <row r="28" spans="1:13" s="79" customFormat="1" ht="17.25" customHeight="1">
      <c r="A28" s="71">
        <v>42354</v>
      </c>
      <c r="B28" s="72" t="s">
        <v>168</v>
      </c>
      <c r="C28" s="72" t="s">
        <v>25</v>
      </c>
      <c r="D28" s="72" t="s">
        <v>172</v>
      </c>
      <c r="E28" s="72" t="s">
        <v>170</v>
      </c>
      <c r="F28" s="72" t="s">
        <v>173</v>
      </c>
      <c r="G28" s="91">
        <v>954</v>
      </c>
      <c r="H28" s="74">
        <v>4.9000000000000004</v>
      </c>
      <c r="I28" s="75">
        <f t="shared" si="2"/>
        <v>4674.6000000000004</v>
      </c>
      <c r="J28" s="72" t="s">
        <v>174</v>
      </c>
      <c r="K28" s="76">
        <v>42472</v>
      </c>
      <c r="L28" s="88" t="s">
        <v>130</v>
      </c>
      <c r="M28" s="78"/>
    </row>
    <row r="29" spans="1:13" s="79" customFormat="1" ht="17.25" customHeight="1">
      <c r="A29" s="71">
        <v>42354</v>
      </c>
      <c r="B29" s="72" t="s">
        <v>168</v>
      </c>
      <c r="C29" s="72" t="s">
        <v>25</v>
      </c>
      <c r="D29" s="72" t="s">
        <v>175</v>
      </c>
      <c r="E29" s="72" t="s">
        <v>170</v>
      </c>
      <c r="F29" s="72" t="s">
        <v>176</v>
      </c>
      <c r="G29" s="73">
        <v>300</v>
      </c>
      <c r="H29" s="74">
        <v>4.7</v>
      </c>
      <c r="I29" s="75">
        <f t="shared" si="2"/>
        <v>1410</v>
      </c>
      <c r="J29" s="72" t="s">
        <v>174</v>
      </c>
      <c r="K29" s="76">
        <v>42472</v>
      </c>
      <c r="L29" s="88" t="s">
        <v>130</v>
      </c>
      <c r="M29" s="78"/>
    </row>
    <row r="30" spans="1:13" s="79" customFormat="1" ht="17.25" customHeight="1">
      <c r="A30" s="71">
        <v>42354</v>
      </c>
      <c r="B30" s="72" t="s">
        <v>168</v>
      </c>
      <c r="C30" s="72" t="s">
        <v>25</v>
      </c>
      <c r="D30" s="72" t="s">
        <v>177</v>
      </c>
      <c r="E30" s="72" t="s">
        <v>170</v>
      </c>
      <c r="F30" s="72"/>
      <c r="G30" s="73">
        <v>6</v>
      </c>
      <c r="H30" s="74">
        <v>4.7</v>
      </c>
      <c r="I30" s="75">
        <f t="shared" si="2"/>
        <v>28.200000000000003</v>
      </c>
      <c r="J30" s="72" t="s">
        <v>174</v>
      </c>
      <c r="K30" s="76">
        <v>42472</v>
      </c>
      <c r="L30" s="77" t="s">
        <v>130</v>
      </c>
      <c r="M30" s="78"/>
    </row>
    <row r="31" spans="1:13" s="79" customFormat="1" ht="17.25" customHeight="1">
      <c r="A31" s="71">
        <v>42354</v>
      </c>
      <c r="B31" s="72" t="s">
        <v>168</v>
      </c>
      <c r="C31" s="72" t="s">
        <v>25</v>
      </c>
      <c r="D31" s="72" t="s">
        <v>178</v>
      </c>
      <c r="E31" s="72" t="s">
        <v>179</v>
      </c>
      <c r="F31" s="72" t="s">
        <v>117</v>
      </c>
      <c r="G31" s="73">
        <v>540</v>
      </c>
      <c r="H31" s="74">
        <v>4.55</v>
      </c>
      <c r="I31" s="75">
        <f t="shared" si="2"/>
        <v>2457</v>
      </c>
      <c r="J31" s="72" t="s">
        <v>171</v>
      </c>
      <c r="K31" s="76">
        <v>42468</v>
      </c>
      <c r="L31" s="72" t="s">
        <v>130</v>
      </c>
      <c r="M31" s="78"/>
    </row>
    <row r="32" spans="1:13" s="79" customFormat="1" ht="17.25" customHeight="1">
      <c r="A32" s="71">
        <v>42354</v>
      </c>
      <c r="B32" s="72" t="s">
        <v>168</v>
      </c>
      <c r="C32" s="72" t="s">
        <v>25</v>
      </c>
      <c r="D32" s="72" t="s">
        <v>180</v>
      </c>
      <c r="E32" s="72" t="s">
        <v>179</v>
      </c>
      <c r="F32" s="72" t="s">
        <v>173</v>
      </c>
      <c r="G32" s="73">
        <v>414</v>
      </c>
      <c r="H32" s="74">
        <v>4.55</v>
      </c>
      <c r="I32" s="75">
        <f t="shared" si="2"/>
        <v>1883.6999999999998</v>
      </c>
      <c r="J32" s="72" t="s">
        <v>171</v>
      </c>
      <c r="K32" s="76">
        <v>42468</v>
      </c>
      <c r="L32" s="72" t="s">
        <v>130</v>
      </c>
      <c r="M32" s="78"/>
    </row>
    <row r="33" spans="1:13" s="79" customFormat="1" ht="17.25" customHeight="1">
      <c r="A33" s="71">
        <v>42354</v>
      </c>
      <c r="B33" s="72" t="s">
        <v>168</v>
      </c>
      <c r="C33" s="72" t="s">
        <v>25</v>
      </c>
      <c r="D33" s="72" t="s">
        <v>181</v>
      </c>
      <c r="E33" s="72" t="s">
        <v>179</v>
      </c>
      <c r="F33" s="72" t="s">
        <v>182</v>
      </c>
      <c r="G33" s="73">
        <v>846</v>
      </c>
      <c r="H33" s="74">
        <v>4.55</v>
      </c>
      <c r="I33" s="75">
        <f t="shared" si="2"/>
        <v>3849.2999999999997</v>
      </c>
      <c r="J33" s="72" t="s">
        <v>171</v>
      </c>
      <c r="K33" s="76">
        <v>42468</v>
      </c>
      <c r="L33" s="72" t="s">
        <v>130</v>
      </c>
      <c r="M33" s="78"/>
    </row>
    <row r="34" spans="1:13" s="79" customFormat="1" ht="17.25" customHeight="1">
      <c r="A34" s="71">
        <v>42354</v>
      </c>
      <c r="B34" s="72" t="s">
        <v>168</v>
      </c>
      <c r="C34" s="72" t="s">
        <v>25</v>
      </c>
      <c r="D34" s="72" t="s">
        <v>183</v>
      </c>
      <c r="E34" s="72" t="s">
        <v>184</v>
      </c>
      <c r="F34" s="72" t="s">
        <v>117</v>
      </c>
      <c r="G34" s="73">
        <v>540</v>
      </c>
      <c r="H34" s="74">
        <v>4.1500000000000004</v>
      </c>
      <c r="I34" s="75">
        <f t="shared" si="2"/>
        <v>2241</v>
      </c>
      <c r="J34" s="72" t="s">
        <v>171</v>
      </c>
      <c r="K34" s="76">
        <v>42468</v>
      </c>
      <c r="L34" s="72" t="s">
        <v>130</v>
      </c>
      <c r="M34" s="78"/>
    </row>
    <row r="35" spans="1:13" s="79" customFormat="1" ht="17.25" customHeight="1">
      <c r="A35" s="71">
        <v>42354</v>
      </c>
      <c r="B35" s="72" t="s">
        <v>168</v>
      </c>
      <c r="C35" s="72" t="s">
        <v>25</v>
      </c>
      <c r="D35" s="72" t="s">
        <v>185</v>
      </c>
      <c r="E35" s="72" t="s">
        <v>184</v>
      </c>
      <c r="F35" s="72" t="s">
        <v>173</v>
      </c>
      <c r="G35" s="73">
        <v>1260</v>
      </c>
      <c r="H35" s="74">
        <v>4.1500000000000004</v>
      </c>
      <c r="I35" s="75">
        <f t="shared" si="2"/>
        <v>5229</v>
      </c>
      <c r="J35" s="72" t="s">
        <v>171</v>
      </c>
      <c r="K35" s="76">
        <v>42468</v>
      </c>
      <c r="L35" s="72" t="s">
        <v>130</v>
      </c>
      <c r="M35" s="78"/>
    </row>
    <row r="36" spans="1:13" s="79" customFormat="1" ht="17.25" customHeight="1">
      <c r="A36" s="71">
        <v>42354</v>
      </c>
      <c r="B36" s="72" t="s">
        <v>168</v>
      </c>
      <c r="C36" s="72" t="s">
        <v>25</v>
      </c>
      <c r="D36" s="72" t="s">
        <v>186</v>
      </c>
      <c r="E36" s="72" t="s">
        <v>187</v>
      </c>
      <c r="F36" s="72" t="s">
        <v>117</v>
      </c>
      <c r="G36" s="73">
        <v>540</v>
      </c>
      <c r="H36" s="74">
        <v>3.9</v>
      </c>
      <c r="I36" s="75">
        <f t="shared" si="2"/>
        <v>2106</v>
      </c>
      <c r="J36" s="72" t="s">
        <v>171</v>
      </c>
      <c r="K36" s="76">
        <v>42468</v>
      </c>
      <c r="L36" s="72" t="s">
        <v>130</v>
      </c>
      <c r="M36" s="78"/>
    </row>
    <row r="37" spans="1:13" s="79" customFormat="1" ht="17.25" customHeight="1">
      <c r="A37" s="71">
        <v>42354</v>
      </c>
      <c r="B37" s="72" t="s">
        <v>168</v>
      </c>
      <c r="C37" s="72" t="s">
        <v>25</v>
      </c>
      <c r="D37" s="72" t="s">
        <v>188</v>
      </c>
      <c r="E37" s="72" t="s">
        <v>187</v>
      </c>
      <c r="F37" s="72" t="s">
        <v>173</v>
      </c>
      <c r="G37" s="91">
        <v>954</v>
      </c>
      <c r="H37" s="74">
        <v>3.9</v>
      </c>
      <c r="I37" s="75">
        <f t="shared" si="2"/>
        <v>3720.6</v>
      </c>
      <c r="J37" s="72" t="s">
        <v>171</v>
      </c>
      <c r="K37" s="76">
        <v>42468</v>
      </c>
      <c r="L37" s="72" t="s">
        <v>130</v>
      </c>
      <c r="M37" s="78"/>
    </row>
    <row r="38" spans="1:13" s="79" customFormat="1" ht="17.25" customHeight="1">
      <c r="A38" s="71">
        <v>42354</v>
      </c>
      <c r="B38" s="72" t="s">
        <v>168</v>
      </c>
      <c r="C38" s="72" t="s">
        <v>25</v>
      </c>
      <c r="D38" s="72" t="s">
        <v>189</v>
      </c>
      <c r="E38" s="72" t="s">
        <v>187</v>
      </c>
      <c r="F38" s="72" t="s">
        <v>176</v>
      </c>
      <c r="G38" s="73">
        <v>300</v>
      </c>
      <c r="H38" s="74">
        <v>3.7</v>
      </c>
      <c r="I38" s="75">
        <f t="shared" si="2"/>
        <v>1110</v>
      </c>
      <c r="J38" s="72" t="s">
        <v>171</v>
      </c>
      <c r="K38" s="76">
        <v>42468</v>
      </c>
      <c r="L38" s="72" t="s">
        <v>130</v>
      </c>
      <c r="M38" s="78"/>
    </row>
    <row r="39" spans="1:13" s="79" customFormat="1" ht="17.25" customHeight="1">
      <c r="A39" s="71">
        <v>42354</v>
      </c>
      <c r="B39" s="72" t="s">
        <v>168</v>
      </c>
      <c r="C39" s="72" t="s">
        <v>25</v>
      </c>
      <c r="D39" s="72" t="s">
        <v>190</v>
      </c>
      <c r="E39" s="72" t="s">
        <v>187</v>
      </c>
      <c r="F39" s="72"/>
      <c r="G39" s="73">
        <v>6</v>
      </c>
      <c r="H39" s="74">
        <v>3.7</v>
      </c>
      <c r="I39" s="75">
        <f t="shared" si="2"/>
        <v>22.200000000000003</v>
      </c>
      <c r="J39" s="72" t="s">
        <v>171</v>
      </c>
      <c r="K39" s="76">
        <v>42468</v>
      </c>
      <c r="L39" s="72" t="s">
        <v>130</v>
      </c>
      <c r="M39" s="78"/>
    </row>
    <row r="40" spans="1:13" s="79" customFormat="1" ht="17.25" customHeight="1">
      <c r="A40" s="71">
        <v>42354</v>
      </c>
      <c r="B40" s="72" t="s">
        <v>168</v>
      </c>
      <c r="C40" s="72" t="s">
        <v>25</v>
      </c>
      <c r="D40" s="72" t="s">
        <v>191</v>
      </c>
      <c r="E40" s="72" t="s">
        <v>192</v>
      </c>
      <c r="F40" s="72" t="s">
        <v>117</v>
      </c>
      <c r="G40" s="73">
        <v>540</v>
      </c>
      <c r="H40" s="74">
        <v>4</v>
      </c>
      <c r="I40" s="75">
        <f t="shared" si="2"/>
        <v>2160</v>
      </c>
      <c r="J40" s="72" t="s">
        <v>171</v>
      </c>
      <c r="K40" s="76">
        <v>42468</v>
      </c>
      <c r="L40" s="72" t="s">
        <v>130</v>
      </c>
      <c r="M40" s="78"/>
    </row>
    <row r="41" spans="1:13" s="79" customFormat="1" ht="17.25" customHeight="1">
      <c r="A41" s="71">
        <v>42354</v>
      </c>
      <c r="B41" s="72" t="s">
        <v>168</v>
      </c>
      <c r="C41" s="72" t="s">
        <v>25</v>
      </c>
      <c r="D41" s="72" t="s">
        <v>193</v>
      </c>
      <c r="E41" s="72" t="s">
        <v>192</v>
      </c>
      <c r="F41" s="72" t="s">
        <v>173</v>
      </c>
      <c r="G41" s="91">
        <v>960</v>
      </c>
      <c r="H41" s="74">
        <v>4</v>
      </c>
      <c r="I41" s="75">
        <f t="shared" si="2"/>
        <v>3840</v>
      </c>
      <c r="J41" s="72" t="s">
        <v>171</v>
      </c>
      <c r="K41" s="76">
        <v>42468</v>
      </c>
      <c r="L41" s="72" t="s">
        <v>130</v>
      </c>
      <c r="M41" s="78"/>
    </row>
    <row r="42" spans="1:13" s="79" customFormat="1" ht="17.25" customHeight="1">
      <c r="A42" s="71">
        <v>42398</v>
      </c>
      <c r="B42" s="72" t="s">
        <v>168</v>
      </c>
      <c r="C42" s="72" t="s">
        <v>25</v>
      </c>
      <c r="D42" s="72" t="s">
        <v>194</v>
      </c>
      <c r="E42" s="72" t="s">
        <v>192</v>
      </c>
      <c r="F42" s="72" t="s">
        <v>176</v>
      </c>
      <c r="G42" s="73">
        <v>300</v>
      </c>
      <c r="H42" s="74">
        <v>3.8</v>
      </c>
      <c r="I42" s="75">
        <f t="shared" si="2"/>
        <v>1140</v>
      </c>
      <c r="J42" s="72" t="s">
        <v>171</v>
      </c>
      <c r="K42" s="76">
        <v>42468</v>
      </c>
      <c r="L42" s="72" t="s">
        <v>130</v>
      </c>
      <c r="M42" s="78"/>
    </row>
    <row r="43" spans="1:13" s="79" customFormat="1" ht="17.25" customHeight="1">
      <c r="A43" s="71">
        <v>42361</v>
      </c>
      <c r="B43" s="72" t="s">
        <v>168</v>
      </c>
      <c r="C43" s="72" t="s">
        <v>121</v>
      </c>
      <c r="D43" s="72" t="s">
        <v>195</v>
      </c>
      <c r="E43" s="72" t="s">
        <v>196</v>
      </c>
      <c r="F43" s="72" t="s">
        <v>117</v>
      </c>
      <c r="G43" s="91">
        <v>13579</v>
      </c>
      <c r="H43" s="74">
        <v>4.3</v>
      </c>
      <c r="I43" s="75">
        <f t="shared" si="2"/>
        <v>58389.7</v>
      </c>
      <c r="J43" s="72" t="s">
        <v>155</v>
      </c>
      <c r="K43" s="76">
        <v>42487</v>
      </c>
      <c r="L43" s="72" t="s">
        <v>119</v>
      </c>
      <c r="M43" s="78"/>
    </row>
    <row r="44" spans="1:13" s="79" customFormat="1" ht="17.25" customHeight="1">
      <c r="A44" s="71">
        <v>42387</v>
      </c>
      <c r="B44" s="72" t="s">
        <v>168</v>
      </c>
      <c r="C44" s="72" t="s">
        <v>121</v>
      </c>
      <c r="D44" s="72" t="s">
        <v>197</v>
      </c>
      <c r="E44" s="72" t="s">
        <v>196</v>
      </c>
      <c r="F44" s="72"/>
      <c r="G44" s="90">
        <v>6</v>
      </c>
      <c r="H44" s="74">
        <v>4.0999999999999996</v>
      </c>
      <c r="I44" s="75">
        <f t="shared" si="2"/>
        <v>24.599999999999998</v>
      </c>
      <c r="J44" s="72" t="s">
        <v>155</v>
      </c>
      <c r="K44" s="76">
        <v>42487</v>
      </c>
      <c r="L44" s="72" t="s">
        <v>119</v>
      </c>
      <c r="M44" s="78"/>
    </row>
    <row r="45" spans="1:13" s="79" customFormat="1" ht="17.25" customHeight="1">
      <c r="A45" s="71">
        <v>42382</v>
      </c>
      <c r="B45" s="72" t="s">
        <v>168</v>
      </c>
      <c r="C45" s="72" t="s">
        <v>121</v>
      </c>
      <c r="D45" s="72" t="s">
        <v>198</v>
      </c>
      <c r="E45" s="72" t="s">
        <v>196</v>
      </c>
      <c r="F45" s="72" t="s">
        <v>199</v>
      </c>
      <c r="G45" s="90">
        <v>57</v>
      </c>
      <c r="H45" s="74">
        <v>4.0999999999999996</v>
      </c>
      <c r="I45" s="75">
        <f t="shared" si="2"/>
        <v>233.7</v>
      </c>
      <c r="J45" s="72" t="s">
        <v>155</v>
      </c>
      <c r="K45" s="76">
        <v>42487</v>
      </c>
      <c r="L45" s="72" t="s">
        <v>119</v>
      </c>
      <c r="M45" s="78"/>
    </row>
    <row r="46" spans="1:13" s="79" customFormat="1" ht="17.25" customHeight="1">
      <c r="A46" s="71">
        <v>42361</v>
      </c>
      <c r="B46" s="72" t="s">
        <v>168</v>
      </c>
      <c r="C46" s="72" t="s">
        <v>121</v>
      </c>
      <c r="D46" s="72" t="s">
        <v>200</v>
      </c>
      <c r="E46" s="72" t="s">
        <v>201</v>
      </c>
      <c r="F46" s="72" t="s">
        <v>117</v>
      </c>
      <c r="G46" s="73">
        <v>13579</v>
      </c>
      <c r="H46" s="74">
        <v>4.3</v>
      </c>
      <c r="I46" s="75">
        <f t="shared" si="2"/>
        <v>58389.7</v>
      </c>
      <c r="J46" s="72" t="s">
        <v>155</v>
      </c>
      <c r="K46" s="76">
        <v>42487</v>
      </c>
      <c r="L46" s="72" t="s">
        <v>119</v>
      </c>
      <c r="M46" s="78"/>
    </row>
    <row r="47" spans="1:13" s="79" customFormat="1" ht="17.25" customHeight="1">
      <c r="A47" s="71">
        <v>42382</v>
      </c>
      <c r="B47" s="72" t="s">
        <v>168</v>
      </c>
      <c r="C47" s="72" t="s">
        <v>121</v>
      </c>
      <c r="D47" s="72" t="s">
        <v>202</v>
      </c>
      <c r="E47" s="72" t="s">
        <v>201</v>
      </c>
      <c r="F47" s="72" t="s">
        <v>117</v>
      </c>
      <c r="G47" s="73">
        <v>58</v>
      </c>
      <c r="H47" s="74">
        <v>4.0999999999999996</v>
      </c>
      <c r="I47" s="92">
        <f t="shared" si="2"/>
        <v>237.79999999999998</v>
      </c>
      <c r="J47" s="93" t="s">
        <v>155</v>
      </c>
      <c r="K47" s="94">
        <v>42487</v>
      </c>
      <c r="L47" s="93" t="s">
        <v>119</v>
      </c>
      <c r="M47" s="78"/>
    </row>
    <row r="48" spans="1:13" s="79" customFormat="1" ht="17.25" customHeight="1">
      <c r="A48" s="71">
        <v>42423</v>
      </c>
      <c r="B48" s="72" t="s">
        <v>168</v>
      </c>
      <c r="C48" s="80" t="s">
        <v>203</v>
      </c>
      <c r="D48" s="72" t="s">
        <v>204</v>
      </c>
      <c r="E48" s="72" t="s">
        <v>205</v>
      </c>
      <c r="F48" s="72" t="s">
        <v>117</v>
      </c>
      <c r="G48" s="73">
        <v>117454</v>
      </c>
      <c r="H48" s="74">
        <v>3.8</v>
      </c>
      <c r="I48" s="75">
        <f t="shared" si="2"/>
        <v>446325.19999999995</v>
      </c>
      <c r="J48" s="72" t="s">
        <v>118</v>
      </c>
      <c r="K48" s="71">
        <v>42522</v>
      </c>
      <c r="L48" s="72" t="s">
        <v>130</v>
      </c>
      <c r="M48" s="78"/>
    </row>
    <row r="49" spans="1:13" s="79" customFormat="1" ht="17.25" customHeight="1">
      <c r="A49" s="71">
        <v>42423</v>
      </c>
      <c r="B49" s="72" t="s">
        <v>168</v>
      </c>
      <c r="C49" s="80" t="s">
        <v>203</v>
      </c>
      <c r="D49" s="72" t="s">
        <v>206</v>
      </c>
      <c r="E49" s="72" t="s">
        <v>207</v>
      </c>
      <c r="F49" s="72" t="s">
        <v>117</v>
      </c>
      <c r="G49" s="73">
        <v>220459</v>
      </c>
      <c r="H49" s="74">
        <v>3.4</v>
      </c>
      <c r="I49" s="75">
        <f t="shared" si="2"/>
        <v>749560.6</v>
      </c>
      <c r="J49" s="72" t="s">
        <v>118</v>
      </c>
      <c r="K49" s="71">
        <v>42522</v>
      </c>
      <c r="L49" s="72" t="s">
        <v>130</v>
      </c>
      <c r="M49" s="78"/>
    </row>
    <row r="50" spans="1:13" s="79" customFormat="1" ht="17.25" customHeight="1">
      <c r="A50" s="71">
        <v>42307</v>
      </c>
      <c r="B50" s="81" t="s">
        <v>208</v>
      </c>
      <c r="C50" s="82" t="s">
        <v>125</v>
      </c>
      <c r="D50" s="72" t="s">
        <v>209</v>
      </c>
      <c r="E50" s="72" t="s">
        <v>210</v>
      </c>
      <c r="F50" s="72" t="s">
        <v>211</v>
      </c>
      <c r="G50" s="73">
        <v>2680</v>
      </c>
      <c r="H50" s="74">
        <v>7.2</v>
      </c>
      <c r="I50" s="83">
        <f t="shared" si="2"/>
        <v>19296</v>
      </c>
      <c r="J50" s="84" t="s">
        <v>212</v>
      </c>
      <c r="K50" s="95">
        <v>42524</v>
      </c>
      <c r="L50" s="72" t="s">
        <v>130</v>
      </c>
      <c r="M50" s="78"/>
    </row>
    <row r="51" spans="1:13" s="79" customFormat="1" ht="17.25" customHeight="1">
      <c r="A51" s="71">
        <v>42307</v>
      </c>
      <c r="B51" s="81" t="s">
        <v>208</v>
      </c>
      <c r="C51" s="82" t="s">
        <v>125</v>
      </c>
      <c r="D51" s="72" t="s">
        <v>213</v>
      </c>
      <c r="E51" s="72" t="s">
        <v>210</v>
      </c>
      <c r="F51" s="72" t="s">
        <v>211</v>
      </c>
      <c r="G51" s="73">
        <v>1882</v>
      </c>
      <c r="H51" s="74">
        <v>6.15</v>
      </c>
      <c r="I51" s="83">
        <f t="shared" si="2"/>
        <v>11574.300000000001</v>
      </c>
      <c r="J51" s="84" t="s">
        <v>212</v>
      </c>
      <c r="K51" s="95">
        <v>42524</v>
      </c>
      <c r="L51" s="72" t="s">
        <v>130</v>
      </c>
      <c r="M51" s="78"/>
    </row>
    <row r="52" spans="1:13" s="79" customFormat="1" ht="17.25" customHeight="1">
      <c r="A52" s="71">
        <v>42342</v>
      </c>
      <c r="B52" s="81" t="s">
        <v>208</v>
      </c>
      <c r="C52" s="82" t="s">
        <v>125</v>
      </c>
      <c r="D52" s="72" t="s">
        <v>214</v>
      </c>
      <c r="E52" s="72" t="s">
        <v>215</v>
      </c>
      <c r="F52" s="72" t="s">
        <v>117</v>
      </c>
      <c r="G52" s="73">
        <v>2154</v>
      </c>
      <c r="H52" s="74">
        <v>7.5</v>
      </c>
      <c r="I52" s="83">
        <f t="shared" si="2"/>
        <v>16155</v>
      </c>
      <c r="J52" s="84" t="s">
        <v>216</v>
      </c>
      <c r="K52" s="95">
        <v>42461</v>
      </c>
      <c r="L52" s="72" t="s">
        <v>130</v>
      </c>
      <c r="M52" s="78"/>
    </row>
    <row r="53" spans="1:13" s="79" customFormat="1" ht="17.25" customHeight="1">
      <c r="A53" s="71">
        <v>42352</v>
      </c>
      <c r="B53" s="81" t="s">
        <v>208</v>
      </c>
      <c r="C53" s="82" t="s">
        <v>125</v>
      </c>
      <c r="D53" s="72" t="s">
        <v>217</v>
      </c>
      <c r="E53" s="72" t="s">
        <v>218</v>
      </c>
      <c r="F53" s="72" t="s">
        <v>117</v>
      </c>
      <c r="G53" s="73">
        <v>28746</v>
      </c>
      <c r="H53" s="74">
        <v>4.3899999999999997</v>
      </c>
      <c r="I53" s="83">
        <f t="shared" si="2"/>
        <v>126194.93999999999</v>
      </c>
      <c r="J53" s="84" t="s">
        <v>219</v>
      </c>
      <c r="K53" s="95">
        <v>42491</v>
      </c>
      <c r="L53" s="72" t="s">
        <v>130</v>
      </c>
      <c r="M53" s="78"/>
    </row>
    <row r="54" spans="1:13" s="97" customFormat="1" ht="17.25" customHeight="1">
      <c r="A54" s="71">
        <v>42352</v>
      </c>
      <c r="B54" s="81" t="s">
        <v>208</v>
      </c>
      <c r="C54" s="82" t="s">
        <v>125</v>
      </c>
      <c r="D54" s="72" t="s">
        <v>217</v>
      </c>
      <c r="E54" s="72" t="s">
        <v>220</v>
      </c>
      <c r="F54" s="72" t="s">
        <v>117</v>
      </c>
      <c r="G54" s="73">
        <v>43406</v>
      </c>
      <c r="H54" s="74">
        <v>6.65</v>
      </c>
      <c r="I54" s="83">
        <f t="shared" si="2"/>
        <v>288649.90000000002</v>
      </c>
      <c r="J54" s="84" t="s">
        <v>219</v>
      </c>
      <c r="K54" s="85">
        <v>42491</v>
      </c>
      <c r="L54" s="72" t="s">
        <v>130</v>
      </c>
      <c r="M54" s="96"/>
    </row>
    <row r="55" spans="1:13" s="97" customFormat="1" ht="17.25" customHeight="1">
      <c r="A55" s="71">
        <v>42433</v>
      </c>
      <c r="B55" s="81" t="s">
        <v>168</v>
      </c>
      <c r="C55" s="82" t="s">
        <v>125</v>
      </c>
      <c r="D55" s="72" t="s">
        <v>221</v>
      </c>
      <c r="E55" s="72" t="s">
        <v>222</v>
      </c>
      <c r="F55" s="72" t="s">
        <v>223</v>
      </c>
      <c r="G55" s="86">
        <v>1000</v>
      </c>
      <c r="H55" s="74">
        <v>7.5</v>
      </c>
      <c r="I55" s="83">
        <f t="shared" si="2"/>
        <v>7500</v>
      </c>
      <c r="J55" s="72" t="s">
        <v>224</v>
      </c>
      <c r="K55" s="76">
        <v>42538</v>
      </c>
      <c r="L55" s="72" t="s">
        <v>130</v>
      </c>
      <c r="M55" s="96"/>
    </row>
    <row r="56" spans="1:13" s="97" customFormat="1" ht="17.25" customHeight="1">
      <c r="A56" s="71">
        <v>42334</v>
      </c>
      <c r="B56" s="72" t="s">
        <v>168</v>
      </c>
      <c r="C56" s="72" t="s">
        <v>30</v>
      </c>
      <c r="D56" s="72" t="s">
        <v>225</v>
      </c>
      <c r="E56" s="72" t="s">
        <v>226</v>
      </c>
      <c r="F56" s="98" t="s">
        <v>227</v>
      </c>
      <c r="G56" s="73">
        <v>7560</v>
      </c>
      <c r="H56" s="74"/>
      <c r="I56" s="75">
        <f t="shared" si="2"/>
        <v>0</v>
      </c>
      <c r="J56" s="72" t="s">
        <v>228</v>
      </c>
      <c r="K56" s="76">
        <v>42473</v>
      </c>
      <c r="L56" s="72" t="s">
        <v>130</v>
      </c>
      <c r="M56" s="96"/>
    </row>
    <row r="57" spans="1:13" s="97" customFormat="1" ht="17.25" customHeight="1">
      <c r="A57" s="71">
        <v>42334</v>
      </c>
      <c r="B57" s="72" t="s">
        <v>168</v>
      </c>
      <c r="C57" s="72" t="s">
        <v>30</v>
      </c>
      <c r="D57" s="72" t="s">
        <v>229</v>
      </c>
      <c r="E57" s="72" t="s">
        <v>226</v>
      </c>
      <c r="F57" s="98" t="s">
        <v>227</v>
      </c>
      <c r="G57" s="73">
        <v>405</v>
      </c>
      <c r="H57" s="74"/>
      <c r="I57" s="75">
        <f t="shared" si="2"/>
        <v>0</v>
      </c>
      <c r="J57" s="72" t="s">
        <v>228</v>
      </c>
      <c r="K57" s="76">
        <v>42473</v>
      </c>
      <c r="L57" s="72" t="s">
        <v>130</v>
      </c>
      <c r="M57" s="96"/>
    </row>
    <row r="58" spans="1:13" s="97" customFormat="1" ht="17.25" customHeight="1">
      <c r="A58" s="71">
        <v>42368</v>
      </c>
      <c r="B58" s="72" t="s">
        <v>168</v>
      </c>
      <c r="C58" s="72" t="s">
        <v>32</v>
      </c>
      <c r="D58" s="72" t="s">
        <v>230</v>
      </c>
      <c r="E58" s="72" t="s">
        <v>231</v>
      </c>
      <c r="F58" s="98" t="s">
        <v>227</v>
      </c>
      <c r="G58" s="73">
        <v>16818</v>
      </c>
      <c r="H58" s="74"/>
      <c r="I58" s="75">
        <f t="shared" si="2"/>
        <v>0</v>
      </c>
      <c r="J58" s="72" t="s">
        <v>232</v>
      </c>
      <c r="K58" s="76">
        <v>42501</v>
      </c>
      <c r="L58" s="72" t="s">
        <v>130</v>
      </c>
      <c r="M58" s="96"/>
    </row>
    <row r="59" spans="1:13" s="79" customFormat="1" ht="17.25" customHeight="1">
      <c r="A59" s="71">
        <v>42368</v>
      </c>
      <c r="B59" s="72" t="s">
        <v>168</v>
      </c>
      <c r="C59" s="72" t="s">
        <v>32</v>
      </c>
      <c r="D59" s="72" t="s">
        <v>233</v>
      </c>
      <c r="E59" s="72" t="s">
        <v>231</v>
      </c>
      <c r="F59" s="98" t="s">
        <v>227</v>
      </c>
      <c r="G59" s="73">
        <v>1299</v>
      </c>
      <c r="H59" s="74"/>
      <c r="I59" s="75">
        <f t="shared" si="2"/>
        <v>0</v>
      </c>
      <c r="J59" s="72" t="s">
        <v>232</v>
      </c>
      <c r="K59" s="76">
        <v>42501</v>
      </c>
      <c r="L59" s="99" t="s">
        <v>130</v>
      </c>
      <c r="M59" s="78"/>
    </row>
    <row r="60" spans="1:13" s="79" customFormat="1" ht="17.25" customHeight="1">
      <c r="A60" s="71">
        <v>42368</v>
      </c>
      <c r="B60" s="72" t="s">
        <v>168</v>
      </c>
      <c r="C60" s="72" t="s">
        <v>32</v>
      </c>
      <c r="D60" s="72" t="s">
        <v>234</v>
      </c>
      <c r="E60" s="72" t="s">
        <v>231</v>
      </c>
      <c r="F60" s="98" t="s">
        <v>227</v>
      </c>
      <c r="G60" s="73">
        <v>120</v>
      </c>
      <c r="H60" s="74"/>
      <c r="I60" s="75">
        <f t="shared" si="2"/>
        <v>0</v>
      </c>
      <c r="J60" s="72" t="s">
        <v>232</v>
      </c>
      <c r="K60" s="76">
        <v>42501</v>
      </c>
      <c r="L60" s="99" t="s">
        <v>130</v>
      </c>
      <c r="M60" s="78"/>
    </row>
    <row r="61" spans="1:13" s="79" customFormat="1" ht="17.25" customHeight="1">
      <c r="A61" s="71">
        <v>42368</v>
      </c>
      <c r="B61" s="72" t="s">
        <v>168</v>
      </c>
      <c r="C61" s="72" t="s">
        <v>32</v>
      </c>
      <c r="D61" s="72" t="s">
        <v>235</v>
      </c>
      <c r="E61" s="72" t="s">
        <v>231</v>
      </c>
      <c r="F61" s="98" t="s">
        <v>227</v>
      </c>
      <c r="G61" s="73">
        <v>378</v>
      </c>
      <c r="H61" s="74"/>
      <c r="I61" s="75">
        <f t="shared" si="2"/>
        <v>0</v>
      </c>
      <c r="J61" s="72" t="s">
        <v>232</v>
      </c>
      <c r="K61" s="76">
        <v>42501</v>
      </c>
      <c r="L61" s="99" t="s">
        <v>130</v>
      </c>
      <c r="M61" s="78"/>
    </row>
    <row r="62" spans="1:13" s="79" customFormat="1" ht="17.25" customHeight="1">
      <c r="A62" s="71">
        <v>42368</v>
      </c>
      <c r="B62" s="72" t="s">
        <v>168</v>
      </c>
      <c r="C62" s="72" t="s">
        <v>32</v>
      </c>
      <c r="D62" s="72" t="s">
        <v>236</v>
      </c>
      <c r="E62" s="72" t="s">
        <v>237</v>
      </c>
      <c r="F62" s="98" t="s">
        <v>227</v>
      </c>
      <c r="G62" s="73">
        <v>3807</v>
      </c>
      <c r="H62" s="74"/>
      <c r="I62" s="75">
        <f t="shared" si="2"/>
        <v>0</v>
      </c>
      <c r="J62" s="72" t="s">
        <v>232</v>
      </c>
      <c r="K62" s="76">
        <v>42501</v>
      </c>
      <c r="L62" s="99" t="s">
        <v>130</v>
      </c>
      <c r="M62" s="78"/>
    </row>
    <row r="63" spans="1:13" s="79" customFormat="1" ht="17.25" customHeight="1">
      <c r="A63" s="71">
        <v>42368</v>
      </c>
      <c r="B63" s="72" t="s">
        <v>168</v>
      </c>
      <c r="C63" s="72" t="s">
        <v>32</v>
      </c>
      <c r="D63" s="72" t="s">
        <v>238</v>
      </c>
      <c r="E63" s="72" t="s">
        <v>237</v>
      </c>
      <c r="F63" s="98" t="s">
        <v>227</v>
      </c>
      <c r="G63" s="73">
        <v>1200</v>
      </c>
      <c r="H63" s="74"/>
      <c r="I63" s="75">
        <f t="shared" si="2"/>
        <v>0</v>
      </c>
      <c r="J63" s="72" t="s">
        <v>232</v>
      </c>
      <c r="K63" s="76">
        <v>42501</v>
      </c>
      <c r="L63" s="99" t="s">
        <v>130</v>
      </c>
      <c r="M63" s="78"/>
    </row>
    <row r="64" spans="1:13" s="79" customFormat="1" ht="17.25" customHeight="1">
      <c r="A64" s="71">
        <v>42368</v>
      </c>
      <c r="B64" s="72" t="s">
        <v>168</v>
      </c>
      <c r="C64" s="72" t="s">
        <v>32</v>
      </c>
      <c r="D64" s="72" t="s">
        <v>239</v>
      </c>
      <c r="E64" s="72" t="s">
        <v>237</v>
      </c>
      <c r="F64" s="98" t="s">
        <v>227</v>
      </c>
      <c r="G64" s="73">
        <v>630</v>
      </c>
      <c r="H64" s="74"/>
      <c r="I64" s="75">
        <f t="shared" si="2"/>
        <v>0</v>
      </c>
      <c r="J64" s="72" t="s">
        <v>232</v>
      </c>
      <c r="K64" s="76">
        <v>42487</v>
      </c>
      <c r="L64" s="99" t="s">
        <v>130</v>
      </c>
      <c r="M64" s="78"/>
    </row>
    <row r="65" spans="1:13" s="79" customFormat="1" ht="17.25" customHeight="1">
      <c r="A65" s="71">
        <v>42403</v>
      </c>
      <c r="B65" s="72" t="s">
        <v>168</v>
      </c>
      <c r="C65" s="72" t="s">
        <v>33</v>
      </c>
      <c r="D65" s="72" t="s">
        <v>240</v>
      </c>
      <c r="E65" s="72" t="s">
        <v>241</v>
      </c>
      <c r="F65" s="98" t="s">
        <v>227</v>
      </c>
      <c r="G65" s="73">
        <v>5285</v>
      </c>
      <c r="H65" s="74">
        <v>6.7</v>
      </c>
      <c r="I65" s="75">
        <f t="shared" si="2"/>
        <v>35409.5</v>
      </c>
      <c r="J65" s="71">
        <v>42506</v>
      </c>
      <c r="K65" s="76">
        <v>42529</v>
      </c>
      <c r="L65" s="99" t="s">
        <v>130</v>
      </c>
      <c r="M65" s="78"/>
    </row>
    <row r="66" spans="1:13" s="79" customFormat="1" ht="17.25" customHeight="1">
      <c r="A66" s="71">
        <v>42403</v>
      </c>
      <c r="B66" s="72" t="s">
        <v>168</v>
      </c>
      <c r="C66" s="72" t="s">
        <v>33</v>
      </c>
      <c r="D66" s="72" t="s">
        <v>242</v>
      </c>
      <c r="E66" s="72" t="s">
        <v>241</v>
      </c>
      <c r="F66" s="98" t="s">
        <v>227</v>
      </c>
      <c r="G66" s="73">
        <v>360</v>
      </c>
      <c r="H66" s="74">
        <v>6.7</v>
      </c>
      <c r="I66" s="75">
        <f t="shared" si="2"/>
        <v>2412</v>
      </c>
      <c r="J66" s="71">
        <v>42506</v>
      </c>
      <c r="K66" s="76">
        <v>42529</v>
      </c>
      <c r="L66" s="99" t="s">
        <v>130</v>
      </c>
      <c r="M66" s="78"/>
    </row>
    <row r="67" spans="1:13" s="79" customFormat="1" ht="17.25" customHeight="1">
      <c r="A67" s="71">
        <v>42417</v>
      </c>
      <c r="B67" s="72" t="s">
        <v>168</v>
      </c>
      <c r="C67" s="72" t="s">
        <v>33</v>
      </c>
      <c r="D67" s="72" t="s">
        <v>243</v>
      </c>
      <c r="E67" s="72" t="s">
        <v>241</v>
      </c>
      <c r="F67" s="98" t="s">
        <v>227</v>
      </c>
      <c r="G67" s="73">
        <v>96</v>
      </c>
      <c r="H67" s="74">
        <v>6.7</v>
      </c>
      <c r="I67" s="75">
        <f t="shared" si="2"/>
        <v>643.20000000000005</v>
      </c>
      <c r="J67" s="71">
        <v>42506</v>
      </c>
      <c r="K67" s="76">
        <v>42529</v>
      </c>
      <c r="L67" s="99" t="s">
        <v>130</v>
      </c>
      <c r="M67" s="78"/>
    </row>
    <row r="68" spans="1:13" s="79" customFormat="1" ht="17.25" customHeight="1">
      <c r="A68" s="71">
        <v>42314</v>
      </c>
      <c r="B68" s="72" t="s">
        <v>168</v>
      </c>
      <c r="C68" s="72" t="s">
        <v>31</v>
      </c>
      <c r="D68" s="72" t="s">
        <v>244</v>
      </c>
      <c r="E68" s="72" t="s">
        <v>245</v>
      </c>
      <c r="F68" s="72" t="s">
        <v>154</v>
      </c>
      <c r="G68" s="73">
        <v>32276</v>
      </c>
      <c r="H68" s="74">
        <v>3.48</v>
      </c>
      <c r="I68" s="83">
        <f t="shared" si="2"/>
        <v>112320.48</v>
      </c>
      <c r="J68" s="72" t="s">
        <v>246</v>
      </c>
      <c r="K68" s="76">
        <v>42461</v>
      </c>
      <c r="L68" s="99" t="s">
        <v>130</v>
      </c>
      <c r="M68" s="78"/>
    </row>
    <row r="69" spans="1:13" s="79" customFormat="1" ht="17.25" customHeight="1">
      <c r="A69" s="71">
        <v>42314</v>
      </c>
      <c r="B69" s="72" t="s">
        <v>168</v>
      </c>
      <c r="C69" s="72" t="s">
        <v>31</v>
      </c>
      <c r="D69" s="72" t="s">
        <v>247</v>
      </c>
      <c r="E69" s="72" t="s">
        <v>245</v>
      </c>
      <c r="F69" s="72" t="s">
        <v>154</v>
      </c>
      <c r="G69" s="73">
        <v>114984</v>
      </c>
      <c r="H69" s="74">
        <v>3.48</v>
      </c>
      <c r="I69" s="83">
        <f t="shared" si="2"/>
        <v>400144.32</v>
      </c>
      <c r="J69" s="72" t="s">
        <v>246</v>
      </c>
      <c r="K69" s="76">
        <v>42461</v>
      </c>
      <c r="L69" s="99" t="s">
        <v>130</v>
      </c>
      <c r="M69" s="78"/>
    </row>
    <row r="70" spans="1:13" s="79" customFormat="1" ht="17.25" customHeight="1">
      <c r="A70" s="71">
        <v>42314</v>
      </c>
      <c r="B70" s="72" t="s">
        <v>168</v>
      </c>
      <c r="C70" s="72" t="s">
        <v>31</v>
      </c>
      <c r="D70" s="72" t="s">
        <v>248</v>
      </c>
      <c r="E70" s="72" t="s">
        <v>245</v>
      </c>
      <c r="F70" s="72" t="s">
        <v>154</v>
      </c>
      <c r="G70" s="73">
        <v>159996</v>
      </c>
      <c r="H70" s="74">
        <v>3.48</v>
      </c>
      <c r="I70" s="83">
        <f t="shared" si="2"/>
        <v>556786.07999999996</v>
      </c>
      <c r="J70" s="72" t="s">
        <v>246</v>
      </c>
      <c r="K70" s="76">
        <v>42461</v>
      </c>
      <c r="L70" s="99" t="s">
        <v>130</v>
      </c>
      <c r="M70" s="78"/>
    </row>
    <row r="71" spans="1:13" s="79" customFormat="1" ht="17.25" customHeight="1">
      <c r="A71" s="71">
        <v>42314</v>
      </c>
      <c r="B71" s="72" t="s">
        <v>168</v>
      </c>
      <c r="C71" s="72" t="s">
        <v>31</v>
      </c>
      <c r="D71" s="72" t="s">
        <v>249</v>
      </c>
      <c r="E71" s="72" t="s">
        <v>245</v>
      </c>
      <c r="F71" s="72" t="s">
        <v>154</v>
      </c>
      <c r="G71" s="73">
        <v>2940</v>
      </c>
      <c r="H71" s="74">
        <v>3.48</v>
      </c>
      <c r="I71" s="83">
        <f t="shared" si="2"/>
        <v>10231.200000000001</v>
      </c>
      <c r="J71" s="72" t="s">
        <v>246</v>
      </c>
      <c r="K71" s="76">
        <v>42461</v>
      </c>
      <c r="L71" s="99" t="s">
        <v>130</v>
      </c>
      <c r="M71" s="78"/>
    </row>
    <row r="72" spans="1:13" s="79" customFormat="1" ht="17.25" customHeight="1">
      <c r="A72" s="71">
        <v>42360</v>
      </c>
      <c r="B72" s="72" t="s">
        <v>168</v>
      </c>
      <c r="C72" s="72" t="s">
        <v>31</v>
      </c>
      <c r="D72" s="72" t="s">
        <v>250</v>
      </c>
      <c r="E72" s="72">
        <v>6923</v>
      </c>
      <c r="F72" s="72" t="s">
        <v>154</v>
      </c>
      <c r="G72" s="73">
        <v>7890</v>
      </c>
      <c r="H72" s="74">
        <v>3.48</v>
      </c>
      <c r="I72" s="83">
        <f t="shared" si="2"/>
        <v>27457.200000000001</v>
      </c>
      <c r="J72" s="72" t="s">
        <v>246</v>
      </c>
      <c r="K72" s="76">
        <v>42461</v>
      </c>
      <c r="L72" s="99" t="s">
        <v>130</v>
      </c>
      <c r="M72" s="78"/>
    </row>
    <row r="73" spans="1:13" s="79" customFormat="1" ht="17.25" customHeight="1">
      <c r="A73" s="71">
        <v>42360</v>
      </c>
      <c r="B73" s="72" t="s">
        <v>168</v>
      </c>
      <c r="C73" s="72" t="s">
        <v>31</v>
      </c>
      <c r="D73" s="72" t="s">
        <v>251</v>
      </c>
      <c r="E73" s="72">
        <v>6923</v>
      </c>
      <c r="F73" s="72" t="s">
        <v>154</v>
      </c>
      <c r="G73" s="73">
        <v>4500</v>
      </c>
      <c r="H73" s="74">
        <v>3.48</v>
      </c>
      <c r="I73" s="83">
        <f t="shared" si="2"/>
        <v>15660</v>
      </c>
      <c r="J73" s="72" t="s">
        <v>246</v>
      </c>
      <c r="K73" s="76">
        <v>42461</v>
      </c>
      <c r="L73" s="99" t="s">
        <v>130</v>
      </c>
      <c r="M73" s="78"/>
    </row>
    <row r="74" spans="1:13" s="79" customFormat="1" ht="17.25" customHeight="1">
      <c r="A74" s="71">
        <v>42382</v>
      </c>
      <c r="B74" s="72" t="s">
        <v>168</v>
      </c>
      <c r="C74" s="72" t="s">
        <v>26</v>
      </c>
      <c r="D74" s="100" t="s">
        <v>252</v>
      </c>
      <c r="E74" s="72" t="s">
        <v>253</v>
      </c>
      <c r="F74" s="72" t="s">
        <v>154</v>
      </c>
      <c r="G74" s="90">
        <v>96</v>
      </c>
      <c r="H74" s="74">
        <v>3.7</v>
      </c>
      <c r="I74" s="83">
        <f t="shared" si="2"/>
        <v>355.20000000000005</v>
      </c>
      <c r="J74" s="72" t="s">
        <v>254</v>
      </c>
      <c r="K74" s="76">
        <v>42494</v>
      </c>
      <c r="L74" s="99" t="s">
        <v>130</v>
      </c>
      <c r="M74" s="78"/>
    </row>
    <row r="75" spans="1:13" s="79" customFormat="1" ht="17.25" customHeight="1">
      <c r="A75" s="71">
        <v>42382</v>
      </c>
      <c r="B75" s="72" t="s">
        <v>168</v>
      </c>
      <c r="C75" s="72" t="s">
        <v>26</v>
      </c>
      <c r="D75" s="100" t="s">
        <v>255</v>
      </c>
      <c r="E75" s="72" t="s">
        <v>253</v>
      </c>
      <c r="F75" s="72" t="s">
        <v>154</v>
      </c>
      <c r="G75" s="90">
        <v>36</v>
      </c>
      <c r="H75" s="74">
        <v>3.3</v>
      </c>
      <c r="I75" s="83">
        <f t="shared" si="2"/>
        <v>118.8</v>
      </c>
      <c r="J75" s="72" t="s">
        <v>254</v>
      </c>
      <c r="K75" s="76">
        <v>42494</v>
      </c>
      <c r="L75" s="99" t="s">
        <v>130</v>
      </c>
      <c r="M75" s="78"/>
    </row>
    <row r="76" spans="1:13" s="79" customFormat="1" ht="17.25" customHeight="1">
      <c r="A76" s="71">
        <v>42382</v>
      </c>
      <c r="B76" s="72" t="s">
        <v>168</v>
      </c>
      <c r="C76" s="72" t="s">
        <v>26</v>
      </c>
      <c r="D76" s="100" t="s">
        <v>256</v>
      </c>
      <c r="E76" s="72" t="s">
        <v>253</v>
      </c>
      <c r="F76" s="72" t="s">
        <v>154</v>
      </c>
      <c r="G76" s="90">
        <v>72</v>
      </c>
      <c r="H76" s="74">
        <v>3.7</v>
      </c>
      <c r="I76" s="83">
        <f t="shared" si="2"/>
        <v>266.40000000000003</v>
      </c>
      <c r="J76" s="72" t="s">
        <v>118</v>
      </c>
      <c r="K76" s="76">
        <v>42522</v>
      </c>
      <c r="L76" s="99" t="s">
        <v>130</v>
      </c>
      <c r="M76" s="78"/>
    </row>
    <row r="77" spans="1:13" s="79" customFormat="1" ht="17.25" customHeight="1">
      <c r="A77" s="71">
        <v>42382</v>
      </c>
      <c r="B77" s="72" t="s">
        <v>168</v>
      </c>
      <c r="C77" s="72" t="s">
        <v>26</v>
      </c>
      <c r="D77" s="100" t="s">
        <v>257</v>
      </c>
      <c r="E77" s="72" t="s">
        <v>253</v>
      </c>
      <c r="F77" s="72" t="s">
        <v>154</v>
      </c>
      <c r="G77" s="90">
        <v>36</v>
      </c>
      <c r="H77" s="74">
        <v>3.3</v>
      </c>
      <c r="I77" s="83">
        <f t="shared" si="2"/>
        <v>118.8</v>
      </c>
      <c r="J77" s="72" t="s">
        <v>118</v>
      </c>
      <c r="K77" s="76">
        <v>42522</v>
      </c>
      <c r="L77" s="99" t="s">
        <v>130</v>
      </c>
      <c r="M77" s="78"/>
    </row>
    <row r="78" spans="1:13" s="79" customFormat="1" ht="17.25" customHeight="1">
      <c r="A78" s="71">
        <v>42382</v>
      </c>
      <c r="B78" s="72" t="s">
        <v>168</v>
      </c>
      <c r="C78" s="72" t="s">
        <v>26</v>
      </c>
      <c r="D78" s="100" t="s">
        <v>258</v>
      </c>
      <c r="E78" s="72" t="s">
        <v>253</v>
      </c>
      <c r="F78" s="72" t="s">
        <v>154</v>
      </c>
      <c r="G78" s="90">
        <v>696</v>
      </c>
      <c r="H78" s="74">
        <v>3.7</v>
      </c>
      <c r="I78" s="83">
        <f t="shared" si="2"/>
        <v>2575.2000000000003</v>
      </c>
      <c r="J78" s="72" t="s">
        <v>118</v>
      </c>
      <c r="K78" s="76">
        <v>42522</v>
      </c>
      <c r="L78" s="99" t="s">
        <v>130</v>
      </c>
      <c r="M78" s="78"/>
    </row>
    <row r="79" spans="1:13" s="79" customFormat="1" ht="17.25" customHeight="1">
      <c r="A79" s="71">
        <v>42382</v>
      </c>
      <c r="B79" s="72" t="s">
        <v>168</v>
      </c>
      <c r="C79" s="72" t="s">
        <v>26</v>
      </c>
      <c r="D79" s="100" t="s">
        <v>259</v>
      </c>
      <c r="E79" s="72" t="s">
        <v>253</v>
      </c>
      <c r="F79" s="72" t="s">
        <v>154</v>
      </c>
      <c r="G79" s="90">
        <v>300</v>
      </c>
      <c r="H79" s="74">
        <v>3.3</v>
      </c>
      <c r="I79" s="83">
        <f t="shared" si="2"/>
        <v>990</v>
      </c>
      <c r="J79" s="72" t="s">
        <v>118</v>
      </c>
      <c r="K79" s="76">
        <v>42522</v>
      </c>
      <c r="L79" s="99" t="s">
        <v>130</v>
      </c>
      <c r="M79" s="78"/>
    </row>
    <row r="80" spans="1:13" s="79" customFormat="1" ht="17.25" customHeight="1">
      <c r="A80" s="71">
        <v>42382</v>
      </c>
      <c r="B80" s="72" t="s">
        <v>168</v>
      </c>
      <c r="C80" s="72" t="s">
        <v>26</v>
      </c>
      <c r="D80" s="100" t="s">
        <v>260</v>
      </c>
      <c r="E80" s="72" t="s">
        <v>253</v>
      </c>
      <c r="F80" s="72" t="s">
        <v>154</v>
      </c>
      <c r="G80" s="90">
        <v>384</v>
      </c>
      <c r="H80" s="74">
        <v>3.7</v>
      </c>
      <c r="I80" s="83">
        <f t="shared" si="2"/>
        <v>1420.8000000000002</v>
      </c>
      <c r="J80" s="72" t="s">
        <v>261</v>
      </c>
      <c r="K80" s="76">
        <v>42537</v>
      </c>
      <c r="L80" s="99" t="s">
        <v>130</v>
      </c>
      <c r="M80" s="78"/>
    </row>
    <row r="81" spans="1:13" s="79" customFormat="1" ht="17.25" customHeight="1">
      <c r="A81" s="71">
        <v>42382</v>
      </c>
      <c r="B81" s="72" t="s">
        <v>168</v>
      </c>
      <c r="C81" s="72" t="s">
        <v>26</v>
      </c>
      <c r="D81" s="100" t="s">
        <v>262</v>
      </c>
      <c r="E81" s="72" t="s">
        <v>253</v>
      </c>
      <c r="F81" s="72" t="s">
        <v>154</v>
      </c>
      <c r="G81" s="90">
        <v>192</v>
      </c>
      <c r="H81" s="74">
        <v>3.3</v>
      </c>
      <c r="I81" s="83">
        <f t="shared" si="2"/>
        <v>633.59999999999991</v>
      </c>
      <c r="J81" s="72" t="s">
        <v>261</v>
      </c>
      <c r="K81" s="76">
        <v>42537</v>
      </c>
      <c r="L81" s="99" t="s">
        <v>130</v>
      </c>
      <c r="M81" s="78"/>
    </row>
    <row r="82" spans="1:13" s="79" customFormat="1" ht="17.25" customHeight="1">
      <c r="A82" s="71">
        <v>42382</v>
      </c>
      <c r="B82" s="72" t="s">
        <v>168</v>
      </c>
      <c r="C82" s="72" t="s">
        <v>26</v>
      </c>
      <c r="D82" s="100" t="s">
        <v>263</v>
      </c>
      <c r="E82" s="72" t="s">
        <v>253</v>
      </c>
      <c r="F82" s="72" t="s">
        <v>154</v>
      </c>
      <c r="G82" s="90">
        <v>53328</v>
      </c>
      <c r="H82" s="74">
        <v>3.7</v>
      </c>
      <c r="I82" s="83">
        <f t="shared" si="2"/>
        <v>197313.6</v>
      </c>
      <c r="J82" s="72" t="s">
        <v>261</v>
      </c>
      <c r="K82" s="101">
        <v>42537</v>
      </c>
      <c r="L82" s="99" t="s">
        <v>130</v>
      </c>
      <c r="M82" s="78"/>
    </row>
    <row r="83" spans="1:13" s="79" customFormat="1" ht="17.25" customHeight="1">
      <c r="A83" s="71">
        <v>42382</v>
      </c>
      <c r="B83" s="72" t="s">
        <v>168</v>
      </c>
      <c r="C83" s="72" t="s">
        <v>26</v>
      </c>
      <c r="D83" s="100" t="s">
        <v>264</v>
      </c>
      <c r="E83" s="72" t="s">
        <v>253</v>
      </c>
      <c r="F83" s="72" t="s">
        <v>154</v>
      </c>
      <c r="G83" s="90">
        <v>26664</v>
      </c>
      <c r="H83" s="74">
        <v>3.3</v>
      </c>
      <c r="I83" s="83">
        <f t="shared" si="2"/>
        <v>87991.2</v>
      </c>
      <c r="J83" s="72" t="s">
        <v>261</v>
      </c>
      <c r="K83" s="101">
        <v>42537</v>
      </c>
      <c r="L83" s="99" t="s">
        <v>130</v>
      </c>
      <c r="M83" s="78"/>
    </row>
    <row r="84" spans="1:13" s="79" customFormat="1" ht="17.25" customHeight="1">
      <c r="A84" s="71">
        <v>42382</v>
      </c>
      <c r="B84" s="72" t="s">
        <v>168</v>
      </c>
      <c r="C84" s="72" t="s">
        <v>26</v>
      </c>
      <c r="D84" s="100" t="s">
        <v>265</v>
      </c>
      <c r="E84" s="72" t="s">
        <v>253</v>
      </c>
      <c r="F84" s="72" t="s">
        <v>154</v>
      </c>
      <c r="G84" s="90">
        <v>624</v>
      </c>
      <c r="H84" s="74">
        <v>3.7</v>
      </c>
      <c r="I84" s="83">
        <f t="shared" si="2"/>
        <v>2308.8000000000002</v>
      </c>
      <c r="J84" s="72" t="s">
        <v>158</v>
      </c>
      <c r="K84" s="76">
        <v>42552</v>
      </c>
      <c r="L84" s="99" t="s">
        <v>130</v>
      </c>
      <c r="M84" s="78"/>
    </row>
    <row r="85" spans="1:13" s="79" customFormat="1" ht="17.25" customHeight="1">
      <c r="A85" s="71">
        <v>42383</v>
      </c>
      <c r="B85" s="72" t="s">
        <v>168</v>
      </c>
      <c r="C85" s="72" t="s">
        <v>26</v>
      </c>
      <c r="D85" s="100" t="s">
        <v>266</v>
      </c>
      <c r="E85" s="72" t="s">
        <v>267</v>
      </c>
      <c r="F85" s="72" t="s">
        <v>154</v>
      </c>
      <c r="G85" s="90">
        <v>77328</v>
      </c>
      <c r="H85" s="74">
        <v>3.7</v>
      </c>
      <c r="I85" s="83">
        <f t="shared" si="2"/>
        <v>286113.60000000003</v>
      </c>
      <c r="J85" s="72" t="s">
        <v>158</v>
      </c>
      <c r="K85" s="76">
        <v>42552</v>
      </c>
      <c r="L85" s="99" t="s">
        <v>130</v>
      </c>
      <c r="M85" s="78"/>
    </row>
    <row r="86" spans="1:13" s="79" customFormat="1" ht="17.25" customHeight="1">
      <c r="A86" s="71">
        <v>42383</v>
      </c>
      <c r="B86" s="72" t="s">
        <v>168</v>
      </c>
      <c r="C86" s="72" t="s">
        <v>26</v>
      </c>
      <c r="D86" s="100" t="s">
        <v>268</v>
      </c>
      <c r="E86" s="72" t="s">
        <v>267</v>
      </c>
      <c r="F86" s="72" t="s">
        <v>154</v>
      </c>
      <c r="G86" s="90">
        <v>264</v>
      </c>
      <c r="H86" s="74">
        <v>3.7</v>
      </c>
      <c r="I86" s="83">
        <f t="shared" si="2"/>
        <v>976.80000000000007</v>
      </c>
      <c r="J86" s="72" t="s">
        <v>167</v>
      </c>
      <c r="K86" s="76">
        <v>42566</v>
      </c>
      <c r="L86" s="99" t="s">
        <v>130</v>
      </c>
      <c r="M86" s="78"/>
    </row>
    <row r="87" spans="1:13" s="79" customFormat="1" ht="17.25" customHeight="1">
      <c r="A87" s="71">
        <v>42383</v>
      </c>
      <c r="B87" s="72" t="s">
        <v>168</v>
      </c>
      <c r="C87" s="72" t="s">
        <v>26</v>
      </c>
      <c r="D87" s="100" t="s">
        <v>269</v>
      </c>
      <c r="E87" s="72" t="s">
        <v>267</v>
      </c>
      <c r="F87" s="72" t="s">
        <v>154</v>
      </c>
      <c r="G87" s="90">
        <v>79128</v>
      </c>
      <c r="H87" s="74">
        <v>3.7</v>
      </c>
      <c r="I87" s="83">
        <f t="shared" si="2"/>
        <v>292773.60000000003</v>
      </c>
      <c r="J87" s="72" t="s">
        <v>167</v>
      </c>
      <c r="K87" s="76">
        <v>42566</v>
      </c>
      <c r="L87" s="99" t="s">
        <v>130</v>
      </c>
      <c r="M87" s="78"/>
    </row>
    <row r="88" spans="1:13" s="79" customFormat="1" ht="17.25" customHeight="1">
      <c r="A88" s="71">
        <v>42404</v>
      </c>
      <c r="B88" s="72" t="s">
        <v>168</v>
      </c>
      <c r="C88" s="72" t="s">
        <v>26</v>
      </c>
      <c r="D88" s="100" t="s">
        <v>270</v>
      </c>
      <c r="E88" s="72" t="s">
        <v>271</v>
      </c>
      <c r="F88" s="72" t="s">
        <v>272</v>
      </c>
      <c r="G88" s="90">
        <v>1758</v>
      </c>
      <c r="H88" s="74">
        <v>3.3</v>
      </c>
      <c r="I88" s="83">
        <f t="shared" si="2"/>
        <v>5801.4</v>
      </c>
      <c r="J88" s="72" t="s">
        <v>124</v>
      </c>
      <c r="K88" s="76">
        <v>42517</v>
      </c>
      <c r="L88" s="99" t="s">
        <v>130</v>
      </c>
      <c r="M88" s="78"/>
    </row>
    <row r="89" spans="1:13" s="79" customFormat="1" ht="17.25" customHeight="1">
      <c r="A89" s="71">
        <v>42404</v>
      </c>
      <c r="B89" s="72" t="s">
        <v>168</v>
      </c>
      <c r="C89" s="72" t="s">
        <v>26</v>
      </c>
      <c r="D89" s="100" t="s">
        <v>273</v>
      </c>
      <c r="E89" s="72" t="s">
        <v>271</v>
      </c>
      <c r="F89" s="72" t="s">
        <v>274</v>
      </c>
      <c r="G89" s="90">
        <v>1500</v>
      </c>
      <c r="H89" s="74">
        <v>3.8</v>
      </c>
      <c r="I89" s="83">
        <f t="shared" si="2"/>
        <v>5700</v>
      </c>
      <c r="J89" s="72" t="s">
        <v>124</v>
      </c>
      <c r="K89" s="71">
        <v>42517</v>
      </c>
      <c r="L89" s="99" t="s">
        <v>130</v>
      </c>
      <c r="M89" s="78"/>
    </row>
    <row r="90" spans="1:13" s="79" customFormat="1" ht="17.25" customHeight="1">
      <c r="A90" s="71">
        <v>42404</v>
      </c>
      <c r="B90" s="72" t="s">
        <v>168</v>
      </c>
      <c r="C90" s="72" t="s">
        <v>26</v>
      </c>
      <c r="D90" s="100" t="s">
        <v>275</v>
      </c>
      <c r="E90" s="72" t="s">
        <v>271</v>
      </c>
      <c r="F90" s="72" t="s">
        <v>274</v>
      </c>
      <c r="G90" s="90">
        <v>642</v>
      </c>
      <c r="H90" s="74">
        <v>3.3</v>
      </c>
      <c r="I90" s="83">
        <f t="shared" si="2"/>
        <v>2118.6</v>
      </c>
      <c r="J90" s="72" t="s">
        <v>124</v>
      </c>
      <c r="K90" s="71">
        <v>42517</v>
      </c>
      <c r="L90" s="99" t="s">
        <v>130</v>
      </c>
      <c r="M90" s="78"/>
    </row>
    <row r="91" spans="1:13" s="79" customFormat="1" ht="17.25" customHeight="1">
      <c r="A91" s="71">
        <v>42404</v>
      </c>
      <c r="B91" s="72" t="s">
        <v>168</v>
      </c>
      <c r="C91" s="72" t="s">
        <v>26</v>
      </c>
      <c r="D91" s="100" t="s">
        <v>276</v>
      </c>
      <c r="E91" s="72" t="s">
        <v>271</v>
      </c>
      <c r="F91" s="72" t="s">
        <v>274</v>
      </c>
      <c r="G91" s="90">
        <v>3900</v>
      </c>
      <c r="H91" s="74">
        <v>3.8</v>
      </c>
      <c r="I91" s="83">
        <f t="shared" ref="I91:I101" si="3">G91*H91</f>
        <v>14820</v>
      </c>
      <c r="J91" s="72" t="s">
        <v>124</v>
      </c>
      <c r="K91" s="71">
        <v>42517</v>
      </c>
      <c r="L91" s="99" t="s">
        <v>130</v>
      </c>
      <c r="M91" s="78"/>
    </row>
    <row r="92" spans="1:13" s="79" customFormat="1" ht="17.25" customHeight="1">
      <c r="A92" s="71">
        <v>42415</v>
      </c>
      <c r="B92" s="72" t="s">
        <v>168</v>
      </c>
      <c r="C92" s="72" t="s">
        <v>26</v>
      </c>
      <c r="D92" s="100" t="s">
        <v>277</v>
      </c>
      <c r="E92" s="72" t="s">
        <v>267</v>
      </c>
      <c r="F92" s="72" t="s">
        <v>278</v>
      </c>
      <c r="G92" s="90">
        <v>684</v>
      </c>
      <c r="H92" s="74">
        <v>3.7</v>
      </c>
      <c r="I92" s="83">
        <f t="shared" si="3"/>
        <v>2530.8000000000002</v>
      </c>
      <c r="J92" s="72" t="s">
        <v>232</v>
      </c>
      <c r="K92" s="71">
        <v>42508</v>
      </c>
      <c r="L92" s="99" t="s">
        <v>130</v>
      </c>
      <c r="M92" s="78"/>
    </row>
    <row r="93" spans="1:13" s="79" customFormat="1" ht="17.25" customHeight="1">
      <c r="A93" s="71">
        <v>42415</v>
      </c>
      <c r="B93" s="72" t="s">
        <v>168</v>
      </c>
      <c r="C93" s="72" t="s">
        <v>26</v>
      </c>
      <c r="D93" s="100" t="s">
        <v>279</v>
      </c>
      <c r="E93" s="72" t="s">
        <v>267</v>
      </c>
      <c r="F93" s="72" t="s">
        <v>278</v>
      </c>
      <c r="G93" s="90">
        <v>456</v>
      </c>
      <c r="H93" s="74">
        <v>3.7</v>
      </c>
      <c r="I93" s="83">
        <f t="shared" si="3"/>
        <v>1687.2</v>
      </c>
      <c r="J93" s="72" t="s">
        <v>232</v>
      </c>
      <c r="K93" s="71">
        <v>42508</v>
      </c>
      <c r="L93" s="99" t="s">
        <v>130</v>
      </c>
      <c r="M93" s="78"/>
    </row>
    <row r="94" spans="1:13" s="79" customFormat="1" ht="17.25" customHeight="1">
      <c r="A94" s="71">
        <v>42334</v>
      </c>
      <c r="B94" s="72" t="s">
        <v>168</v>
      </c>
      <c r="C94" s="72" t="s">
        <v>125</v>
      </c>
      <c r="D94" s="72" t="s">
        <v>280</v>
      </c>
      <c r="E94" s="72" t="s">
        <v>281</v>
      </c>
      <c r="F94" s="72" t="s">
        <v>117</v>
      </c>
      <c r="G94" s="91">
        <v>23727</v>
      </c>
      <c r="H94" s="74">
        <v>5.5</v>
      </c>
      <c r="I94" s="83">
        <f t="shared" si="3"/>
        <v>130498.5</v>
      </c>
      <c r="J94" s="72" t="s">
        <v>216</v>
      </c>
      <c r="K94" s="71">
        <v>42459</v>
      </c>
      <c r="L94" s="99" t="s">
        <v>130</v>
      </c>
      <c r="M94" s="78"/>
    </row>
    <row r="95" spans="1:13" s="79" customFormat="1" ht="17.25" customHeight="1">
      <c r="A95" s="71">
        <v>42334</v>
      </c>
      <c r="B95" s="72" t="s">
        <v>168</v>
      </c>
      <c r="C95" s="72" t="s">
        <v>125</v>
      </c>
      <c r="D95" s="72" t="s">
        <v>282</v>
      </c>
      <c r="E95" s="72" t="s">
        <v>283</v>
      </c>
      <c r="F95" s="72" t="s">
        <v>117</v>
      </c>
      <c r="G95" s="91">
        <v>23094</v>
      </c>
      <c r="H95" s="74">
        <v>6.7</v>
      </c>
      <c r="I95" s="83">
        <f t="shared" si="3"/>
        <v>154729.80000000002</v>
      </c>
      <c r="J95" s="72" t="s">
        <v>216</v>
      </c>
      <c r="K95" s="71">
        <v>42459</v>
      </c>
      <c r="L95" s="99" t="s">
        <v>130</v>
      </c>
      <c r="M95" s="78"/>
    </row>
    <row r="96" spans="1:13" s="79" customFormat="1" ht="17.25" customHeight="1">
      <c r="A96" s="71">
        <v>42389</v>
      </c>
      <c r="B96" s="72" t="s">
        <v>168</v>
      </c>
      <c r="C96" s="72" t="s">
        <v>30</v>
      </c>
      <c r="D96" s="72" t="s">
        <v>284</v>
      </c>
      <c r="E96" s="72" t="s">
        <v>285</v>
      </c>
      <c r="F96" s="98" t="s">
        <v>117</v>
      </c>
      <c r="G96" s="73">
        <v>53585</v>
      </c>
      <c r="H96" s="74">
        <v>5.9</v>
      </c>
      <c r="I96" s="75">
        <f t="shared" si="3"/>
        <v>316151.5</v>
      </c>
      <c r="J96" s="72" t="s">
        <v>286</v>
      </c>
      <c r="K96" s="71">
        <v>42521</v>
      </c>
      <c r="L96" s="99" t="s">
        <v>119</v>
      </c>
      <c r="M96" s="78"/>
    </row>
    <row r="97" spans="1:13" s="79" customFormat="1" ht="17.25" customHeight="1">
      <c r="A97" s="71">
        <v>42389</v>
      </c>
      <c r="B97" s="72" t="s">
        <v>168</v>
      </c>
      <c r="C97" s="72" t="s">
        <v>30</v>
      </c>
      <c r="D97" s="72" t="s">
        <v>287</v>
      </c>
      <c r="E97" s="72" t="s">
        <v>288</v>
      </c>
      <c r="F97" s="98" t="s">
        <v>117</v>
      </c>
      <c r="G97" s="73">
        <v>55498</v>
      </c>
      <c r="H97" s="74">
        <v>5.5</v>
      </c>
      <c r="I97" s="75">
        <f t="shared" si="3"/>
        <v>305239</v>
      </c>
      <c r="J97" s="72" t="s">
        <v>286</v>
      </c>
      <c r="K97" s="71">
        <v>42521</v>
      </c>
      <c r="L97" s="99" t="s">
        <v>119</v>
      </c>
      <c r="M97" s="78"/>
    </row>
    <row r="98" spans="1:13" s="79" customFormat="1" ht="17.25" customHeight="1">
      <c r="A98" s="89">
        <v>41997</v>
      </c>
      <c r="B98" s="102" t="s">
        <v>168</v>
      </c>
      <c r="C98" s="103" t="s">
        <v>151</v>
      </c>
      <c r="D98" s="104" t="s">
        <v>289</v>
      </c>
      <c r="E98" s="105" t="s">
        <v>290</v>
      </c>
      <c r="F98" s="106"/>
      <c r="G98" s="107">
        <v>7500</v>
      </c>
      <c r="H98" s="108">
        <v>4.8499999999999996</v>
      </c>
      <c r="I98" s="83">
        <f t="shared" si="3"/>
        <v>36375</v>
      </c>
      <c r="J98" s="89">
        <v>42101</v>
      </c>
      <c r="K98" s="109">
        <v>42111</v>
      </c>
      <c r="L98" s="110" t="s">
        <v>130</v>
      </c>
      <c r="M98" s="78"/>
    </row>
    <row r="99" spans="1:13" s="79" customFormat="1" ht="17.25" customHeight="1">
      <c r="A99" s="89">
        <v>42262</v>
      </c>
      <c r="B99" s="102" t="s">
        <v>168</v>
      </c>
      <c r="C99" s="103" t="s">
        <v>151</v>
      </c>
      <c r="D99" s="104" t="s">
        <v>291</v>
      </c>
      <c r="E99" s="105"/>
      <c r="F99" s="106"/>
      <c r="G99" s="107">
        <v>3000</v>
      </c>
      <c r="H99" s="108">
        <v>4.5</v>
      </c>
      <c r="I99" s="83">
        <f t="shared" si="3"/>
        <v>13500</v>
      </c>
      <c r="J99" s="89">
        <v>42369</v>
      </c>
      <c r="K99" s="89">
        <v>42369</v>
      </c>
      <c r="L99" s="110" t="s">
        <v>130</v>
      </c>
      <c r="M99" s="78"/>
    </row>
    <row r="100" spans="1:13" s="79" customFormat="1" ht="17.25" customHeight="1">
      <c r="A100" s="71">
        <v>75301</v>
      </c>
      <c r="B100" s="102" t="s">
        <v>168</v>
      </c>
      <c r="C100" s="72" t="s">
        <v>292</v>
      </c>
      <c r="D100" s="72" t="s">
        <v>293</v>
      </c>
      <c r="E100" s="72" t="s">
        <v>294</v>
      </c>
      <c r="F100" s="72" t="s">
        <v>295</v>
      </c>
      <c r="G100" s="107">
        <v>1548</v>
      </c>
      <c r="H100" s="108">
        <v>3.6</v>
      </c>
      <c r="I100" s="83">
        <f t="shared" si="3"/>
        <v>5572.8</v>
      </c>
      <c r="J100" s="72" t="s">
        <v>296</v>
      </c>
      <c r="K100" s="72" t="s">
        <v>296</v>
      </c>
      <c r="L100" s="99" t="s">
        <v>130</v>
      </c>
      <c r="M100" s="78"/>
    </row>
    <row r="101" spans="1:13" s="79" customFormat="1" ht="17.25" customHeight="1">
      <c r="A101" s="71">
        <v>75301</v>
      </c>
      <c r="B101" s="102" t="s">
        <v>168</v>
      </c>
      <c r="C101" s="72" t="s">
        <v>292</v>
      </c>
      <c r="D101" s="72" t="s">
        <v>297</v>
      </c>
      <c r="E101" s="72" t="s">
        <v>298</v>
      </c>
      <c r="F101" s="72" t="s">
        <v>295</v>
      </c>
      <c r="G101" s="107">
        <v>3010</v>
      </c>
      <c r="H101" s="108">
        <v>3.1</v>
      </c>
      <c r="I101" s="83">
        <f t="shared" si="3"/>
        <v>9331</v>
      </c>
      <c r="J101" s="72" t="s">
        <v>296</v>
      </c>
      <c r="K101" s="72" t="s">
        <v>296</v>
      </c>
      <c r="L101" s="99" t="s">
        <v>130</v>
      </c>
      <c r="M101" s="78"/>
    </row>
    <row r="102" spans="1:13" s="79" customFormat="1" ht="17.25" customHeight="1">
      <c r="A102" s="71">
        <v>42348</v>
      </c>
      <c r="B102" s="81" t="s">
        <v>299</v>
      </c>
      <c r="C102" s="82" t="s">
        <v>125</v>
      </c>
      <c r="D102" s="72" t="s">
        <v>300</v>
      </c>
      <c r="E102" s="72" t="s">
        <v>301</v>
      </c>
      <c r="F102" s="72" t="s">
        <v>117</v>
      </c>
      <c r="G102" s="73">
        <v>96742</v>
      </c>
      <c r="H102" s="74">
        <v>4.4000000000000004</v>
      </c>
      <c r="I102" s="83">
        <f>G102*H102</f>
        <v>425664.80000000005</v>
      </c>
      <c r="J102" s="84" t="s">
        <v>219</v>
      </c>
      <c r="K102" s="95">
        <v>42491</v>
      </c>
      <c r="L102" s="99" t="s">
        <v>130</v>
      </c>
      <c r="M102" s="78"/>
    </row>
    <row r="103" spans="1:13" s="79" customFormat="1" ht="17.25" customHeight="1">
      <c r="A103" s="71">
        <v>42348</v>
      </c>
      <c r="B103" s="81" t="s">
        <v>299</v>
      </c>
      <c r="C103" s="82" t="s">
        <v>125</v>
      </c>
      <c r="D103" s="72" t="s">
        <v>302</v>
      </c>
      <c r="E103" s="72" t="s">
        <v>303</v>
      </c>
      <c r="F103" s="72" t="s">
        <v>117</v>
      </c>
      <c r="G103" s="73">
        <v>30831</v>
      </c>
      <c r="H103" s="74">
        <v>4.6500000000000004</v>
      </c>
      <c r="I103" s="83">
        <f>G103*H103</f>
        <v>143364.15000000002</v>
      </c>
      <c r="J103" s="84" t="s">
        <v>219</v>
      </c>
      <c r="K103" s="95">
        <v>42491</v>
      </c>
      <c r="L103" s="99" t="s">
        <v>130</v>
      </c>
      <c r="M103" s="78"/>
    </row>
    <row r="104" spans="1:13" s="79" customFormat="1" ht="17.25" customHeight="1">
      <c r="A104" s="71">
        <v>42382</v>
      </c>
      <c r="B104" s="72" t="s">
        <v>304</v>
      </c>
      <c r="C104" s="72" t="s">
        <v>31</v>
      </c>
      <c r="D104" s="100" t="s">
        <v>305</v>
      </c>
      <c r="E104" s="72" t="s">
        <v>306</v>
      </c>
      <c r="F104" s="72" t="s">
        <v>154</v>
      </c>
      <c r="G104" s="90">
        <v>804</v>
      </c>
      <c r="H104" s="74">
        <v>4</v>
      </c>
      <c r="I104" s="83">
        <f>G104*H104</f>
        <v>3216</v>
      </c>
      <c r="J104" s="72" t="s">
        <v>232</v>
      </c>
      <c r="K104" s="71">
        <v>42508</v>
      </c>
      <c r="L104" s="99" t="s">
        <v>130</v>
      </c>
      <c r="M104" s="78"/>
    </row>
    <row r="105" spans="1:13" s="79" customFormat="1" ht="17.25" customHeight="1">
      <c r="A105" s="71">
        <v>42382</v>
      </c>
      <c r="B105" s="72" t="s">
        <v>304</v>
      </c>
      <c r="C105" s="72" t="s">
        <v>31</v>
      </c>
      <c r="D105" s="100" t="s">
        <v>307</v>
      </c>
      <c r="E105" s="72" t="s">
        <v>306</v>
      </c>
      <c r="F105" s="72" t="s">
        <v>154</v>
      </c>
      <c r="G105" s="90">
        <v>804</v>
      </c>
      <c r="H105" s="74">
        <v>4</v>
      </c>
      <c r="I105" s="83">
        <f>G105*H105</f>
        <v>3216</v>
      </c>
      <c r="J105" s="72" t="s">
        <v>232</v>
      </c>
      <c r="K105" s="71">
        <v>42508</v>
      </c>
      <c r="L105" s="99" t="s">
        <v>130</v>
      </c>
      <c r="M105" s="78"/>
    </row>
    <row r="106" spans="1:13" s="79" customFormat="1" ht="17.25" customHeight="1">
      <c r="A106" s="71">
        <v>42382</v>
      </c>
      <c r="B106" s="72" t="s">
        <v>304</v>
      </c>
      <c r="C106" s="72" t="s">
        <v>31</v>
      </c>
      <c r="D106" s="100" t="s">
        <v>308</v>
      </c>
      <c r="E106" s="72" t="s">
        <v>306</v>
      </c>
      <c r="F106" s="72" t="s">
        <v>154</v>
      </c>
      <c r="G106" s="90">
        <v>492</v>
      </c>
      <c r="H106" s="74">
        <v>4</v>
      </c>
      <c r="I106" s="83">
        <f>G106*H106</f>
        <v>1968</v>
      </c>
      <c r="J106" s="72" t="s">
        <v>232</v>
      </c>
      <c r="K106" s="71">
        <v>42508</v>
      </c>
      <c r="L106" s="99" t="s">
        <v>130</v>
      </c>
      <c r="M106" s="78"/>
    </row>
    <row r="107" spans="1:13" s="79" customFormat="1" ht="17.25" customHeight="1">
      <c r="A107" s="71">
        <v>42426</v>
      </c>
      <c r="B107" s="72" t="s">
        <v>309</v>
      </c>
      <c r="C107" s="80" t="s">
        <v>121</v>
      </c>
      <c r="D107" s="72" t="s">
        <v>310</v>
      </c>
      <c r="E107" s="72" t="s">
        <v>311</v>
      </c>
      <c r="F107" s="72" t="s">
        <v>117</v>
      </c>
      <c r="G107" s="73">
        <v>14595</v>
      </c>
      <c r="H107" s="74">
        <v>6.6</v>
      </c>
      <c r="I107" s="75">
        <f t="shared" ref="I107:I112" si="4">G107*H107</f>
        <v>96327</v>
      </c>
      <c r="J107" s="72" t="s">
        <v>118</v>
      </c>
      <c r="K107" s="71">
        <v>42522</v>
      </c>
      <c r="L107" s="99" t="s">
        <v>119</v>
      </c>
      <c r="M107" s="78"/>
    </row>
    <row r="108" spans="1:13" s="79" customFormat="1" ht="17.25" customHeight="1">
      <c r="A108" s="71">
        <v>42432</v>
      </c>
      <c r="B108" s="72" t="s">
        <v>309</v>
      </c>
      <c r="C108" s="80" t="s">
        <v>121</v>
      </c>
      <c r="D108" s="72" t="s">
        <v>312</v>
      </c>
      <c r="E108" s="72" t="s">
        <v>311</v>
      </c>
      <c r="F108" s="72"/>
      <c r="G108" s="73">
        <v>4</v>
      </c>
      <c r="H108" s="74">
        <v>6.4</v>
      </c>
      <c r="I108" s="75">
        <f t="shared" si="4"/>
        <v>25.6</v>
      </c>
      <c r="J108" s="72" t="s">
        <v>118</v>
      </c>
      <c r="K108" s="71">
        <v>42522</v>
      </c>
      <c r="L108" s="99" t="s">
        <v>119</v>
      </c>
      <c r="M108" s="78"/>
    </row>
    <row r="109" spans="1:13" s="79" customFormat="1" ht="17.25" customHeight="1">
      <c r="A109" s="71">
        <v>42426</v>
      </c>
      <c r="B109" s="72" t="s">
        <v>309</v>
      </c>
      <c r="C109" s="80" t="s">
        <v>121</v>
      </c>
      <c r="D109" s="72" t="s">
        <v>313</v>
      </c>
      <c r="E109" s="72" t="s">
        <v>314</v>
      </c>
      <c r="F109" s="72" t="s">
        <v>117</v>
      </c>
      <c r="G109" s="73">
        <v>14022</v>
      </c>
      <c r="H109" s="74">
        <v>7</v>
      </c>
      <c r="I109" s="75">
        <f t="shared" si="4"/>
        <v>98154</v>
      </c>
      <c r="J109" s="72" t="s">
        <v>118</v>
      </c>
      <c r="K109" s="71">
        <v>42522</v>
      </c>
      <c r="L109" s="99" t="s">
        <v>119</v>
      </c>
      <c r="M109" s="78"/>
    </row>
    <row r="110" spans="1:13" s="79" customFormat="1" ht="17.25" customHeight="1">
      <c r="A110" s="71">
        <v>42432</v>
      </c>
      <c r="B110" s="72" t="s">
        <v>309</v>
      </c>
      <c r="C110" s="80" t="s">
        <v>121</v>
      </c>
      <c r="D110" s="72" t="s">
        <v>315</v>
      </c>
      <c r="E110" s="72" t="s">
        <v>314</v>
      </c>
      <c r="F110" s="72"/>
      <c r="G110" s="73">
        <v>4</v>
      </c>
      <c r="H110" s="74">
        <v>6.8</v>
      </c>
      <c r="I110" s="75">
        <f t="shared" si="4"/>
        <v>27.2</v>
      </c>
      <c r="J110" s="72" t="s">
        <v>118</v>
      </c>
      <c r="K110" s="71">
        <v>42522</v>
      </c>
      <c r="L110" s="99" t="s">
        <v>119</v>
      </c>
      <c r="M110" s="78"/>
    </row>
    <row r="111" spans="1:13" s="79" customFormat="1" ht="17.25" customHeight="1">
      <c r="A111" s="71">
        <v>42382</v>
      </c>
      <c r="B111" s="72" t="s">
        <v>309</v>
      </c>
      <c r="C111" s="72" t="s">
        <v>26</v>
      </c>
      <c r="D111" s="100" t="s">
        <v>316</v>
      </c>
      <c r="E111" s="72" t="s">
        <v>253</v>
      </c>
      <c r="F111" s="72" t="s">
        <v>154</v>
      </c>
      <c r="G111" s="90">
        <v>81600</v>
      </c>
      <c r="H111" s="74">
        <v>3.7</v>
      </c>
      <c r="I111" s="83">
        <f t="shared" si="4"/>
        <v>301920</v>
      </c>
      <c r="J111" s="72" t="s">
        <v>118</v>
      </c>
      <c r="K111" s="71">
        <v>42522</v>
      </c>
      <c r="L111" s="99" t="s">
        <v>130</v>
      </c>
      <c r="M111" s="78"/>
    </row>
    <row r="112" spans="1:13" s="79" customFormat="1" ht="17.25" customHeight="1">
      <c r="A112" s="71">
        <v>42382</v>
      </c>
      <c r="B112" s="72" t="s">
        <v>309</v>
      </c>
      <c r="C112" s="72" t="s">
        <v>26</v>
      </c>
      <c r="D112" s="100" t="s">
        <v>317</v>
      </c>
      <c r="E112" s="72" t="s">
        <v>253</v>
      </c>
      <c r="F112" s="72" t="s">
        <v>154</v>
      </c>
      <c r="G112" s="90">
        <v>33780</v>
      </c>
      <c r="H112" s="74">
        <v>3.3</v>
      </c>
      <c r="I112" s="83">
        <f t="shared" si="4"/>
        <v>111474</v>
      </c>
      <c r="J112" s="72" t="s">
        <v>118</v>
      </c>
      <c r="K112" s="71">
        <v>42522</v>
      </c>
      <c r="L112" s="99" t="s">
        <v>130</v>
      </c>
      <c r="M112" s="78"/>
    </row>
    <row r="113" spans="1:13" s="79" customFormat="1" ht="17.25" customHeight="1">
      <c r="A113" s="71">
        <v>42333</v>
      </c>
      <c r="B113" s="72" t="s">
        <v>318</v>
      </c>
      <c r="C113" s="72" t="s">
        <v>24</v>
      </c>
      <c r="D113" s="72" t="s">
        <v>319</v>
      </c>
      <c r="E113" s="72" t="s">
        <v>320</v>
      </c>
      <c r="F113" s="72" t="s">
        <v>117</v>
      </c>
      <c r="G113" s="73">
        <v>43917</v>
      </c>
      <c r="H113" s="74">
        <v>4.9000000000000004</v>
      </c>
      <c r="I113" s="75">
        <f>G113*H113</f>
        <v>215193.30000000002</v>
      </c>
      <c r="J113" s="72" t="s">
        <v>174</v>
      </c>
      <c r="K113" s="71">
        <v>42473</v>
      </c>
      <c r="L113" s="99" t="s">
        <v>119</v>
      </c>
      <c r="M113" s="78"/>
    </row>
    <row r="114" spans="1:13" s="79" customFormat="1" ht="17.25" customHeight="1">
      <c r="A114" s="71">
        <v>42349</v>
      </c>
      <c r="B114" s="72" t="s">
        <v>318</v>
      </c>
      <c r="C114" s="72" t="s">
        <v>24</v>
      </c>
      <c r="D114" s="72" t="s">
        <v>321</v>
      </c>
      <c r="E114" s="72" t="s">
        <v>320</v>
      </c>
      <c r="F114" s="72" t="s">
        <v>322</v>
      </c>
      <c r="G114" s="73">
        <v>72</v>
      </c>
      <c r="H114" s="74">
        <v>4.7</v>
      </c>
      <c r="I114" s="75">
        <f>G114*H114</f>
        <v>338.40000000000003</v>
      </c>
      <c r="J114" s="72" t="s">
        <v>174</v>
      </c>
      <c r="K114" s="71">
        <v>42473</v>
      </c>
      <c r="L114" s="99" t="s">
        <v>119</v>
      </c>
      <c r="M114" s="78"/>
    </row>
    <row r="115" spans="1:13" s="79" customFormat="1" ht="17.25" customHeight="1">
      <c r="A115" s="71">
        <v>42326</v>
      </c>
      <c r="B115" s="81" t="s">
        <v>323</v>
      </c>
      <c r="C115" s="82" t="s">
        <v>125</v>
      </c>
      <c r="D115" s="72" t="s">
        <v>324</v>
      </c>
      <c r="E115" s="72" t="s">
        <v>325</v>
      </c>
      <c r="F115" s="72" t="s">
        <v>154</v>
      </c>
      <c r="G115" s="73">
        <v>120768</v>
      </c>
      <c r="H115" s="74">
        <v>4.05</v>
      </c>
      <c r="I115" s="83">
        <f>G115*H115</f>
        <v>489110.39999999997</v>
      </c>
      <c r="J115" s="84" t="s">
        <v>216</v>
      </c>
      <c r="K115" s="95">
        <v>42468</v>
      </c>
      <c r="L115" s="99" t="s">
        <v>130</v>
      </c>
      <c r="M115" s="78"/>
    </row>
    <row r="116" spans="1:13" s="79" customFormat="1" ht="17.25" customHeight="1">
      <c r="A116" s="71">
        <v>42326</v>
      </c>
      <c r="B116" s="81" t="s">
        <v>323</v>
      </c>
      <c r="C116" s="82" t="s">
        <v>125</v>
      </c>
      <c r="D116" s="72" t="s">
        <v>324</v>
      </c>
      <c r="E116" s="72" t="s">
        <v>325</v>
      </c>
      <c r="F116" s="72" t="s">
        <v>154</v>
      </c>
      <c r="G116" s="73">
        <v>50496</v>
      </c>
      <c r="H116" s="74">
        <v>4.0999999999999996</v>
      </c>
      <c r="I116" s="83">
        <f>G116*H116</f>
        <v>207033.59999999998</v>
      </c>
      <c r="J116" s="84" t="s">
        <v>216</v>
      </c>
      <c r="K116" s="95">
        <v>42468</v>
      </c>
      <c r="L116" s="99" t="s">
        <v>130</v>
      </c>
      <c r="M116" s="78"/>
    </row>
    <row r="117" spans="1:13" s="79" customFormat="1" ht="17.25" customHeight="1">
      <c r="A117" s="71">
        <v>42363</v>
      </c>
      <c r="B117" s="72" t="s">
        <v>323</v>
      </c>
      <c r="C117" s="72" t="s">
        <v>125</v>
      </c>
      <c r="D117" s="72" t="s">
        <v>326</v>
      </c>
      <c r="E117" s="72" t="s">
        <v>327</v>
      </c>
      <c r="F117" s="72" t="s">
        <v>117</v>
      </c>
      <c r="G117" s="111">
        <v>21793</v>
      </c>
      <c r="H117" s="74">
        <v>6.03</v>
      </c>
      <c r="I117" s="83">
        <f>G117*H117</f>
        <v>131411.79</v>
      </c>
      <c r="J117" s="72" t="s">
        <v>328</v>
      </c>
      <c r="K117" s="71">
        <v>42480</v>
      </c>
      <c r="L117" s="99" t="s">
        <v>119</v>
      </c>
      <c r="M117" s="78"/>
    </row>
    <row r="118" spans="1:13" s="79" customFormat="1" ht="17.25" customHeight="1">
      <c r="A118" s="71">
        <v>42363</v>
      </c>
      <c r="B118" s="72" t="s">
        <v>323</v>
      </c>
      <c r="C118" s="72" t="s">
        <v>125</v>
      </c>
      <c r="D118" s="72" t="s">
        <v>329</v>
      </c>
      <c r="E118" s="72" t="s">
        <v>330</v>
      </c>
      <c r="F118" s="72" t="s">
        <v>117</v>
      </c>
      <c r="G118" s="111">
        <v>36593</v>
      </c>
      <c r="H118" s="74">
        <v>5.59</v>
      </c>
      <c r="I118" s="83">
        <f>G118*H118</f>
        <v>204554.87</v>
      </c>
      <c r="J118" s="72" t="s">
        <v>328</v>
      </c>
      <c r="K118" s="71">
        <v>42480</v>
      </c>
      <c r="L118" s="99" t="s">
        <v>119</v>
      </c>
      <c r="M118" s="78"/>
    </row>
    <row r="119" spans="1:13" s="79" customFormat="1" ht="17.25" customHeight="1">
      <c r="A119" s="71">
        <v>42327</v>
      </c>
      <c r="B119" s="80" t="s">
        <v>331</v>
      </c>
      <c r="C119" s="72" t="s">
        <v>28</v>
      </c>
      <c r="D119" s="72" t="s">
        <v>332</v>
      </c>
      <c r="E119" s="72" t="s">
        <v>333</v>
      </c>
      <c r="F119" s="72" t="s">
        <v>149</v>
      </c>
      <c r="G119" s="91">
        <v>4668</v>
      </c>
      <c r="H119" s="74">
        <v>5.75</v>
      </c>
      <c r="I119" s="75">
        <f t="shared" ref="I119:I131" si="5">G119*H119</f>
        <v>26841</v>
      </c>
      <c r="J119" s="72" t="s">
        <v>174</v>
      </c>
      <c r="K119" s="71">
        <v>42473</v>
      </c>
      <c r="L119" s="110" t="s">
        <v>119</v>
      </c>
      <c r="M119" s="78"/>
    </row>
    <row r="120" spans="1:13" s="79" customFormat="1" ht="17.25" customHeight="1">
      <c r="A120" s="71">
        <v>42332</v>
      </c>
      <c r="B120" s="80" t="s">
        <v>331</v>
      </c>
      <c r="C120" s="72" t="s">
        <v>28</v>
      </c>
      <c r="D120" s="72" t="s">
        <v>334</v>
      </c>
      <c r="E120" s="72" t="s">
        <v>333</v>
      </c>
      <c r="F120" s="72" t="s">
        <v>149</v>
      </c>
      <c r="G120" s="73">
        <v>2916</v>
      </c>
      <c r="H120" s="74">
        <v>5.75</v>
      </c>
      <c r="I120" s="75">
        <f t="shared" si="5"/>
        <v>16767</v>
      </c>
      <c r="J120" s="72" t="s">
        <v>174</v>
      </c>
      <c r="K120" s="71">
        <v>42473</v>
      </c>
      <c r="L120" s="110" t="s">
        <v>119</v>
      </c>
      <c r="M120" s="78"/>
    </row>
    <row r="121" spans="1:13" s="79" customFormat="1" ht="17.25" customHeight="1">
      <c r="A121" s="71">
        <v>42341</v>
      </c>
      <c r="B121" s="80" t="s">
        <v>331</v>
      </c>
      <c r="C121" s="72" t="s">
        <v>28</v>
      </c>
      <c r="D121" s="72" t="s">
        <v>335</v>
      </c>
      <c r="E121" s="72" t="s">
        <v>333</v>
      </c>
      <c r="F121" s="72" t="s">
        <v>149</v>
      </c>
      <c r="G121" s="73">
        <v>2072</v>
      </c>
      <c r="H121" s="74">
        <v>5.75</v>
      </c>
      <c r="I121" s="75">
        <f t="shared" si="5"/>
        <v>11914</v>
      </c>
      <c r="J121" s="72" t="s">
        <v>174</v>
      </c>
      <c r="K121" s="71">
        <v>42473</v>
      </c>
      <c r="L121" s="110" t="s">
        <v>119</v>
      </c>
      <c r="M121" s="78"/>
    </row>
    <row r="122" spans="1:13" s="79" customFormat="1" ht="17.25" customHeight="1">
      <c r="A122" s="71">
        <v>42341</v>
      </c>
      <c r="B122" s="80" t="s">
        <v>331</v>
      </c>
      <c r="C122" s="72" t="s">
        <v>28</v>
      </c>
      <c r="D122" s="72" t="s">
        <v>336</v>
      </c>
      <c r="E122" s="72" t="s">
        <v>333</v>
      </c>
      <c r="F122" s="72" t="s">
        <v>149</v>
      </c>
      <c r="G122" s="73">
        <v>48</v>
      </c>
      <c r="H122" s="74">
        <v>5.75</v>
      </c>
      <c r="I122" s="75">
        <f t="shared" si="5"/>
        <v>276</v>
      </c>
      <c r="J122" s="72" t="s">
        <v>174</v>
      </c>
      <c r="K122" s="71">
        <v>42473</v>
      </c>
      <c r="L122" s="110" t="s">
        <v>119</v>
      </c>
      <c r="M122" s="78"/>
    </row>
    <row r="123" spans="1:13" s="79" customFormat="1" ht="17.25" customHeight="1">
      <c r="A123" s="71">
        <v>42342</v>
      </c>
      <c r="B123" s="80" t="s">
        <v>331</v>
      </c>
      <c r="C123" s="72" t="s">
        <v>28</v>
      </c>
      <c r="D123" s="72" t="s">
        <v>337</v>
      </c>
      <c r="E123" s="72" t="s">
        <v>333</v>
      </c>
      <c r="F123" s="72" t="s">
        <v>149</v>
      </c>
      <c r="G123" s="73">
        <v>208</v>
      </c>
      <c r="H123" s="74">
        <v>5.55</v>
      </c>
      <c r="I123" s="75">
        <f t="shared" si="5"/>
        <v>1154.3999999999999</v>
      </c>
      <c r="J123" s="72" t="s">
        <v>174</v>
      </c>
      <c r="K123" s="71">
        <v>42473</v>
      </c>
      <c r="L123" s="110" t="s">
        <v>119</v>
      </c>
      <c r="M123" s="78"/>
    </row>
    <row r="124" spans="1:13" s="79" customFormat="1" ht="17.25" customHeight="1">
      <c r="A124" s="71">
        <v>42342</v>
      </c>
      <c r="B124" s="80" t="s">
        <v>331</v>
      </c>
      <c r="C124" s="72" t="s">
        <v>28</v>
      </c>
      <c r="D124" s="72" t="s">
        <v>334</v>
      </c>
      <c r="E124" s="72" t="s">
        <v>333</v>
      </c>
      <c r="F124" s="72" t="s">
        <v>149</v>
      </c>
      <c r="G124" s="73">
        <v>1504</v>
      </c>
      <c r="H124" s="74">
        <v>5.75</v>
      </c>
      <c r="I124" s="75">
        <f t="shared" si="5"/>
        <v>8648</v>
      </c>
      <c r="J124" s="72" t="s">
        <v>174</v>
      </c>
      <c r="K124" s="71">
        <v>42473</v>
      </c>
      <c r="L124" s="110" t="s">
        <v>119</v>
      </c>
      <c r="M124" s="78"/>
    </row>
    <row r="125" spans="1:13" s="79" customFormat="1" ht="17.25" customHeight="1">
      <c r="A125" s="71">
        <v>42342</v>
      </c>
      <c r="B125" s="80" t="s">
        <v>331</v>
      </c>
      <c r="C125" s="72" t="s">
        <v>28</v>
      </c>
      <c r="D125" s="72" t="s">
        <v>338</v>
      </c>
      <c r="E125" s="72" t="s">
        <v>333</v>
      </c>
      <c r="F125" s="72" t="s">
        <v>149</v>
      </c>
      <c r="G125" s="73">
        <v>1332</v>
      </c>
      <c r="H125" s="74">
        <v>5.75</v>
      </c>
      <c r="I125" s="75">
        <f t="shared" si="5"/>
        <v>7659</v>
      </c>
      <c r="J125" s="72" t="s">
        <v>174</v>
      </c>
      <c r="K125" s="71">
        <v>42473</v>
      </c>
      <c r="L125" s="110" t="s">
        <v>119</v>
      </c>
      <c r="M125" s="78"/>
    </row>
    <row r="126" spans="1:13" s="79" customFormat="1" ht="17.25" customHeight="1">
      <c r="A126" s="71">
        <v>42342</v>
      </c>
      <c r="B126" s="80" t="s">
        <v>331</v>
      </c>
      <c r="C126" s="72" t="s">
        <v>28</v>
      </c>
      <c r="D126" s="72" t="s">
        <v>339</v>
      </c>
      <c r="E126" s="72" t="s">
        <v>333</v>
      </c>
      <c r="F126" s="72" t="s">
        <v>149</v>
      </c>
      <c r="G126" s="73">
        <v>16</v>
      </c>
      <c r="H126" s="74">
        <v>5.75</v>
      </c>
      <c r="I126" s="75">
        <f t="shared" si="5"/>
        <v>92</v>
      </c>
      <c r="J126" s="72" t="s">
        <v>174</v>
      </c>
      <c r="K126" s="71">
        <v>42473</v>
      </c>
      <c r="L126" s="110" t="s">
        <v>119</v>
      </c>
      <c r="M126" s="78"/>
    </row>
    <row r="127" spans="1:13" s="79" customFormat="1" ht="17.25" customHeight="1">
      <c r="A127" s="71">
        <v>42416</v>
      </c>
      <c r="B127" s="72" t="s">
        <v>331</v>
      </c>
      <c r="C127" s="72" t="s">
        <v>292</v>
      </c>
      <c r="D127" s="72" t="s">
        <v>340</v>
      </c>
      <c r="E127" s="72" t="s">
        <v>341</v>
      </c>
      <c r="F127" s="72" t="s">
        <v>342</v>
      </c>
      <c r="G127" s="73">
        <v>864</v>
      </c>
      <c r="H127" s="74">
        <v>6.05</v>
      </c>
      <c r="I127" s="75">
        <f t="shared" si="5"/>
        <v>5227.2</v>
      </c>
      <c r="J127" s="72" t="s">
        <v>232</v>
      </c>
      <c r="K127" s="71">
        <v>42510</v>
      </c>
      <c r="L127" s="99" t="s">
        <v>119</v>
      </c>
      <c r="M127" s="78"/>
    </row>
    <row r="128" spans="1:13" s="79" customFormat="1" ht="17.25" customHeight="1">
      <c r="A128" s="71">
        <v>42416</v>
      </c>
      <c r="B128" s="72" t="s">
        <v>331</v>
      </c>
      <c r="C128" s="72" t="s">
        <v>292</v>
      </c>
      <c r="D128" s="72" t="s">
        <v>343</v>
      </c>
      <c r="E128" s="72" t="s">
        <v>341</v>
      </c>
      <c r="F128" s="72" t="s">
        <v>173</v>
      </c>
      <c r="G128" s="73">
        <v>792</v>
      </c>
      <c r="H128" s="74">
        <v>6.05</v>
      </c>
      <c r="I128" s="75">
        <f t="shared" si="5"/>
        <v>4791.5999999999995</v>
      </c>
      <c r="J128" s="72" t="s">
        <v>232</v>
      </c>
      <c r="K128" s="71">
        <v>42510</v>
      </c>
      <c r="L128" s="99" t="s">
        <v>119</v>
      </c>
      <c r="M128" s="78"/>
    </row>
    <row r="129" spans="1:13" s="79" customFormat="1" ht="17.25" customHeight="1">
      <c r="A129" s="71">
        <v>42416</v>
      </c>
      <c r="B129" s="72" t="s">
        <v>331</v>
      </c>
      <c r="C129" s="72" t="s">
        <v>292</v>
      </c>
      <c r="D129" s="72" t="s">
        <v>344</v>
      </c>
      <c r="E129" s="72" t="s">
        <v>341</v>
      </c>
      <c r="F129" s="72" t="s">
        <v>345</v>
      </c>
      <c r="G129" s="73">
        <v>480</v>
      </c>
      <c r="H129" s="74">
        <v>5.85</v>
      </c>
      <c r="I129" s="75">
        <f t="shared" si="5"/>
        <v>2808</v>
      </c>
      <c r="J129" s="72" t="s">
        <v>232</v>
      </c>
      <c r="K129" s="71">
        <v>42510</v>
      </c>
      <c r="L129" s="99" t="s">
        <v>119</v>
      </c>
      <c r="M129" s="78"/>
    </row>
    <row r="130" spans="1:13" s="79" customFormat="1" ht="17.25" customHeight="1">
      <c r="A130" s="71">
        <v>42416</v>
      </c>
      <c r="B130" s="72" t="s">
        <v>331</v>
      </c>
      <c r="C130" s="72" t="s">
        <v>292</v>
      </c>
      <c r="D130" s="72" t="s">
        <v>346</v>
      </c>
      <c r="E130" s="72" t="s">
        <v>341</v>
      </c>
      <c r="F130" s="72" t="s">
        <v>199</v>
      </c>
      <c r="G130" s="73">
        <v>330</v>
      </c>
      <c r="H130" s="74">
        <v>5.85</v>
      </c>
      <c r="I130" s="75">
        <f t="shared" si="5"/>
        <v>1930.4999999999998</v>
      </c>
      <c r="J130" s="72" t="s">
        <v>232</v>
      </c>
      <c r="K130" s="71">
        <v>42510</v>
      </c>
      <c r="L130" s="99" t="s">
        <v>119</v>
      </c>
      <c r="M130" s="78"/>
    </row>
    <row r="131" spans="1:13" s="79" customFormat="1" ht="17.25" customHeight="1">
      <c r="A131" s="71">
        <v>42416</v>
      </c>
      <c r="B131" s="72" t="s">
        <v>331</v>
      </c>
      <c r="C131" s="72" t="s">
        <v>121</v>
      </c>
      <c r="D131" s="72" t="s">
        <v>347</v>
      </c>
      <c r="E131" s="72" t="s">
        <v>348</v>
      </c>
      <c r="F131" s="72" t="s">
        <v>345</v>
      </c>
      <c r="G131" s="73">
        <v>2400</v>
      </c>
      <c r="H131" s="74">
        <v>5.35</v>
      </c>
      <c r="I131" s="75">
        <f t="shared" si="5"/>
        <v>12840</v>
      </c>
      <c r="J131" s="72" t="s">
        <v>118</v>
      </c>
      <c r="K131" s="71">
        <v>42522</v>
      </c>
      <c r="L131" s="99" t="s">
        <v>119</v>
      </c>
      <c r="M131" s="78"/>
    </row>
    <row r="132" spans="1:13" s="79" customFormat="1" ht="17.25" customHeight="1">
      <c r="A132" s="89">
        <v>42373</v>
      </c>
      <c r="B132" s="72" t="s">
        <v>349</v>
      </c>
      <c r="C132" s="72" t="s">
        <v>350</v>
      </c>
      <c r="D132" s="72" t="s">
        <v>351</v>
      </c>
      <c r="E132" s="72" t="s">
        <v>352</v>
      </c>
      <c r="F132" s="72" t="s">
        <v>322</v>
      </c>
      <c r="G132" s="90">
        <v>1344</v>
      </c>
      <c r="H132" s="74">
        <v>8.1</v>
      </c>
      <c r="I132" s="83">
        <f t="shared" ref="I132:I151" si="6">G132*H132</f>
        <v>10886.4</v>
      </c>
      <c r="J132" s="72" t="s">
        <v>124</v>
      </c>
      <c r="K132" s="71">
        <v>42508</v>
      </c>
      <c r="L132" s="99" t="s">
        <v>353</v>
      </c>
      <c r="M132" s="78"/>
    </row>
    <row r="133" spans="1:13" s="79" customFormat="1" ht="17.25" customHeight="1">
      <c r="A133" s="71">
        <v>42315</v>
      </c>
      <c r="B133" s="72" t="s">
        <v>349</v>
      </c>
      <c r="C133" s="72" t="s">
        <v>25</v>
      </c>
      <c r="D133" s="72" t="s">
        <v>354</v>
      </c>
      <c r="E133" s="72" t="s">
        <v>355</v>
      </c>
      <c r="F133" s="72" t="s">
        <v>356</v>
      </c>
      <c r="G133" s="73">
        <v>4620</v>
      </c>
      <c r="H133" s="74">
        <v>5.4</v>
      </c>
      <c r="I133" s="75">
        <f t="shared" si="6"/>
        <v>24948</v>
      </c>
      <c r="J133" s="72" t="s">
        <v>357</v>
      </c>
      <c r="K133" s="71">
        <v>42445</v>
      </c>
      <c r="L133" s="110" t="s">
        <v>119</v>
      </c>
      <c r="M133" s="78"/>
    </row>
    <row r="134" spans="1:13" s="79" customFormat="1" ht="17.25" customHeight="1">
      <c r="A134" s="71">
        <v>42315</v>
      </c>
      <c r="B134" s="72" t="s">
        <v>349</v>
      </c>
      <c r="C134" s="72" t="s">
        <v>25</v>
      </c>
      <c r="D134" s="72" t="s">
        <v>358</v>
      </c>
      <c r="E134" s="72" t="s">
        <v>355</v>
      </c>
      <c r="F134" s="72" t="s">
        <v>356</v>
      </c>
      <c r="G134" s="73">
        <v>1967</v>
      </c>
      <c r="H134" s="74">
        <v>5.4</v>
      </c>
      <c r="I134" s="75">
        <f t="shared" si="6"/>
        <v>10621.800000000001</v>
      </c>
      <c r="J134" s="72" t="s">
        <v>357</v>
      </c>
      <c r="K134" s="71">
        <v>42445</v>
      </c>
      <c r="L134" s="110" t="s">
        <v>119</v>
      </c>
      <c r="M134" s="78"/>
    </row>
    <row r="135" spans="1:13" s="79" customFormat="1" ht="17.25" customHeight="1">
      <c r="A135" s="71">
        <v>42315</v>
      </c>
      <c r="B135" s="72" t="s">
        <v>349</v>
      </c>
      <c r="C135" s="72" t="s">
        <v>25</v>
      </c>
      <c r="D135" s="72" t="s">
        <v>359</v>
      </c>
      <c r="E135" s="72" t="s">
        <v>355</v>
      </c>
      <c r="F135" s="72" t="s">
        <v>356</v>
      </c>
      <c r="G135" s="73">
        <v>180</v>
      </c>
      <c r="H135" s="74">
        <v>5.4</v>
      </c>
      <c r="I135" s="75">
        <f t="shared" si="6"/>
        <v>972.00000000000011</v>
      </c>
      <c r="J135" s="72" t="s">
        <v>357</v>
      </c>
      <c r="K135" s="71">
        <v>42445</v>
      </c>
      <c r="L135" s="110" t="s">
        <v>119</v>
      </c>
      <c r="M135" s="78"/>
    </row>
    <row r="136" spans="1:13" s="79" customFormat="1" ht="17.25" customHeight="1">
      <c r="A136" s="71">
        <v>42315</v>
      </c>
      <c r="B136" s="72" t="s">
        <v>349</v>
      </c>
      <c r="C136" s="72" t="s">
        <v>25</v>
      </c>
      <c r="D136" s="72" t="s">
        <v>360</v>
      </c>
      <c r="E136" s="72" t="s">
        <v>361</v>
      </c>
      <c r="F136" s="72" t="s">
        <v>356</v>
      </c>
      <c r="G136" s="73">
        <v>2718</v>
      </c>
      <c r="H136" s="74">
        <v>6.3</v>
      </c>
      <c r="I136" s="75">
        <f t="shared" si="6"/>
        <v>17123.399999999998</v>
      </c>
      <c r="J136" s="72" t="s">
        <v>357</v>
      </c>
      <c r="K136" s="71">
        <v>42445</v>
      </c>
      <c r="L136" s="110" t="s">
        <v>119</v>
      </c>
      <c r="M136" s="78"/>
    </row>
    <row r="137" spans="1:13" s="79" customFormat="1" ht="17.25" customHeight="1">
      <c r="A137" s="71">
        <v>42315</v>
      </c>
      <c r="B137" s="72" t="s">
        <v>349</v>
      </c>
      <c r="C137" s="72" t="s">
        <v>25</v>
      </c>
      <c r="D137" s="72" t="s">
        <v>362</v>
      </c>
      <c r="E137" s="72" t="s">
        <v>361</v>
      </c>
      <c r="F137" s="72" t="s">
        <v>356</v>
      </c>
      <c r="G137" s="73">
        <v>1818</v>
      </c>
      <c r="H137" s="74">
        <v>6.3</v>
      </c>
      <c r="I137" s="75">
        <f t="shared" si="6"/>
        <v>11453.4</v>
      </c>
      <c r="J137" s="72" t="s">
        <v>357</v>
      </c>
      <c r="K137" s="71">
        <v>42445</v>
      </c>
      <c r="L137" s="105" t="s">
        <v>119</v>
      </c>
      <c r="M137" s="78"/>
    </row>
    <row r="138" spans="1:13" s="79" customFormat="1" ht="17.25" customHeight="1">
      <c r="A138" s="71">
        <v>42315</v>
      </c>
      <c r="B138" s="72" t="s">
        <v>349</v>
      </c>
      <c r="C138" s="72" t="s">
        <v>25</v>
      </c>
      <c r="D138" s="72" t="s">
        <v>363</v>
      </c>
      <c r="E138" s="72" t="s">
        <v>361</v>
      </c>
      <c r="F138" s="72" t="s">
        <v>356</v>
      </c>
      <c r="G138" s="73">
        <v>144</v>
      </c>
      <c r="H138" s="74">
        <v>6.3</v>
      </c>
      <c r="I138" s="75">
        <f t="shared" si="6"/>
        <v>907.19999999999993</v>
      </c>
      <c r="J138" s="72" t="s">
        <v>357</v>
      </c>
      <c r="K138" s="71">
        <v>42445</v>
      </c>
      <c r="L138" s="105" t="s">
        <v>119</v>
      </c>
      <c r="M138" s="78"/>
    </row>
    <row r="139" spans="1:13" s="79" customFormat="1" ht="17.25" customHeight="1">
      <c r="A139" s="71">
        <v>42325</v>
      </c>
      <c r="B139" s="80" t="s">
        <v>349</v>
      </c>
      <c r="C139" s="72" t="s">
        <v>25</v>
      </c>
      <c r="D139" s="72" t="s">
        <v>364</v>
      </c>
      <c r="E139" s="72" t="s">
        <v>365</v>
      </c>
      <c r="F139" s="72" t="s">
        <v>199</v>
      </c>
      <c r="G139" s="73">
        <v>2166</v>
      </c>
      <c r="H139" s="74">
        <v>7.15</v>
      </c>
      <c r="I139" s="75">
        <f t="shared" si="6"/>
        <v>15486.900000000001</v>
      </c>
      <c r="J139" s="72" t="s">
        <v>366</v>
      </c>
      <c r="K139" s="71">
        <v>42459</v>
      </c>
      <c r="L139" s="105" t="s">
        <v>119</v>
      </c>
      <c r="M139" s="78"/>
    </row>
    <row r="140" spans="1:13" s="79" customFormat="1" ht="17.25" customHeight="1">
      <c r="A140" s="71">
        <v>42346</v>
      </c>
      <c r="B140" s="72" t="s">
        <v>349</v>
      </c>
      <c r="C140" s="72" t="s">
        <v>29</v>
      </c>
      <c r="D140" s="72" t="s">
        <v>367</v>
      </c>
      <c r="E140" s="72" t="s">
        <v>368</v>
      </c>
      <c r="F140" s="72" t="s">
        <v>356</v>
      </c>
      <c r="G140" s="73">
        <v>2400</v>
      </c>
      <c r="H140" s="74">
        <v>7.05</v>
      </c>
      <c r="I140" s="75">
        <f t="shared" si="6"/>
        <v>16920</v>
      </c>
      <c r="J140" s="72" t="s">
        <v>171</v>
      </c>
      <c r="K140" s="71">
        <v>42466</v>
      </c>
      <c r="L140" s="72" t="s">
        <v>119</v>
      </c>
      <c r="M140" s="78"/>
    </row>
    <row r="141" spans="1:13" s="79" customFormat="1" ht="17.25" customHeight="1">
      <c r="A141" s="71">
        <v>42361</v>
      </c>
      <c r="B141" s="72" t="s">
        <v>349</v>
      </c>
      <c r="C141" s="72" t="s">
        <v>25</v>
      </c>
      <c r="D141" s="72" t="s">
        <v>369</v>
      </c>
      <c r="E141" s="72" t="s">
        <v>370</v>
      </c>
      <c r="F141" s="72" t="s">
        <v>117</v>
      </c>
      <c r="G141" s="73">
        <v>18168</v>
      </c>
      <c r="H141" s="74">
        <v>5.3</v>
      </c>
      <c r="I141" s="75">
        <f t="shared" si="6"/>
        <v>96290.4</v>
      </c>
      <c r="J141" s="72" t="s">
        <v>155</v>
      </c>
      <c r="K141" s="71">
        <v>42487</v>
      </c>
      <c r="L141" s="72" t="s">
        <v>119</v>
      </c>
      <c r="M141" s="78"/>
    </row>
    <row r="142" spans="1:13" s="79" customFormat="1" ht="17.25" customHeight="1">
      <c r="A142" s="71">
        <v>42383</v>
      </c>
      <c r="B142" s="72" t="s">
        <v>349</v>
      </c>
      <c r="C142" s="72" t="s">
        <v>25</v>
      </c>
      <c r="D142" s="72" t="s">
        <v>371</v>
      </c>
      <c r="E142" s="72" t="s">
        <v>370</v>
      </c>
      <c r="F142" s="72" t="s">
        <v>199</v>
      </c>
      <c r="G142" s="73">
        <v>239</v>
      </c>
      <c r="H142" s="74">
        <v>5.0999999999999996</v>
      </c>
      <c r="I142" s="75">
        <f t="shared" si="6"/>
        <v>1218.8999999999999</v>
      </c>
      <c r="J142" s="72" t="s">
        <v>155</v>
      </c>
      <c r="K142" s="71">
        <v>42487</v>
      </c>
      <c r="L142" s="72" t="s">
        <v>119</v>
      </c>
      <c r="M142" s="78"/>
    </row>
    <row r="143" spans="1:13" s="79" customFormat="1" ht="17.25" customHeight="1">
      <c r="A143" s="71">
        <v>42369</v>
      </c>
      <c r="B143" s="72" t="s">
        <v>349</v>
      </c>
      <c r="C143" s="72" t="s">
        <v>25</v>
      </c>
      <c r="D143" s="72" t="s">
        <v>372</v>
      </c>
      <c r="E143" s="72" t="s">
        <v>370</v>
      </c>
      <c r="F143" s="72"/>
      <c r="G143" s="73">
        <v>6</v>
      </c>
      <c r="H143" s="74">
        <v>5.0999999999999996</v>
      </c>
      <c r="I143" s="75">
        <f t="shared" si="6"/>
        <v>30.599999999999998</v>
      </c>
      <c r="J143" s="72" t="s">
        <v>155</v>
      </c>
      <c r="K143" s="71">
        <v>42487</v>
      </c>
      <c r="L143" s="72" t="s">
        <v>119</v>
      </c>
      <c r="M143" s="78"/>
    </row>
    <row r="144" spans="1:13" s="79" customFormat="1" ht="17.25" customHeight="1">
      <c r="A144" s="71">
        <v>42361</v>
      </c>
      <c r="B144" s="72" t="s">
        <v>349</v>
      </c>
      <c r="C144" s="72" t="s">
        <v>25</v>
      </c>
      <c r="D144" s="72" t="s">
        <v>373</v>
      </c>
      <c r="E144" s="72" t="s">
        <v>374</v>
      </c>
      <c r="F144" s="72" t="s">
        <v>117</v>
      </c>
      <c r="G144" s="73">
        <v>13417</v>
      </c>
      <c r="H144" s="74">
        <v>5.3</v>
      </c>
      <c r="I144" s="75">
        <f t="shared" si="6"/>
        <v>71110.099999999991</v>
      </c>
      <c r="J144" s="72" t="s">
        <v>155</v>
      </c>
      <c r="K144" s="71">
        <v>42487</v>
      </c>
      <c r="L144" s="72" t="s">
        <v>119</v>
      </c>
      <c r="M144" s="78"/>
    </row>
    <row r="145" spans="1:13" s="79" customFormat="1" ht="17.25" customHeight="1">
      <c r="A145" s="71">
        <v>42383</v>
      </c>
      <c r="B145" s="72" t="s">
        <v>349</v>
      </c>
      <c r="C145" s="72" t="s">
        <v>25</v>
      </c>
      <c r="D145" s="72" t="s">
        <v>375</v>
      </c>
      <c r="E145" s="72" t="s">
        <v>374</v>
      </c>
      <c r="F145" s="72" t="s">
        <v>199</v>
      </c>
      <c r="G145" s="73">
        <v>248</v>
      </c>
      <c r="H145" s="74">
        <v>5.0999999999999996</v>
      </c>
      <c r="I145" s="75">
        <f t="shared" si="6"/>
        <v>1264.8</v>
      </c>
      <c r="J145" s="72" t="s">
        <v>155</v>
      </c>
      <c r="K145" s="71">
        <v>42487</v>
      </c>
      <c r="L145" s="72" t="s">
        <v>119</v>
      </c>
      <c r="M145" s="78"/>
    </row>
    <row r="146" spans="1:13" s="79" customFormat="1" ht="17.25" customHeight="1">
      <c r="A146" s="71">
        <v>42361</v>
      </c>
      <c r="B146" s="72" t="s">
        <v>349</v>
      </c>
      <c r="C146" s="72" t="s">
        <v>25</v>
      </c>
      <c r="D146" s="72" t="s">
        <v>376</v>
      </c>
      <c r="E146" s="72" t="s">
        <v>377</v>
      </c>
      <c r="F146" s="72" t="s">
        <v>117</v>
      </c>
      <c r="G146" s="73">
        <v>18122</v>
      </c>
      <c r="H146" s="112">
        <v>5.9</v>
      </c>
      <c r="I146" s="75">
        <f t="shared" si="6"/>
        <v>106919.8</v>
      </c>
      <c r="J146" s="72" t="s">
        <v>155</v>
      </c>
      <c r="K146" s="71">
        <v>42487</v>
      </c>
      <c r="L146" s="72" t="s">
        <v>119</v>
      </c>
      <c r="M146" s="78"/>
    </row>
    <row r="147" spans="1:13" s="79" customFormat="1" ht="17.25" customHeight="1">
      <c r="A147" s="71">
        <v>42383</v>
      </c>
      <c r="B147" s="72" t="s">
        <v>349</v>
      </c>
      <c r="C147" s="72" t="s">
        <v>25</v>
      </c>
      <c r="D147" s="72" t="s">
        <v>378</v>
      </c>
      <c r="E147" s="72" t="s">
        <v>377</v>
      </c>
      <c r="F147" s="72" t="s">
        <v>199</v>
      </c>
      <c r="G147" s="73">
        <v>271</v>
      </c>
      <c r="H147" s="112">
        <v>5.7</v>
      </c>
      <c r="I147" s="75">
        <f t="shared" si="6"/>
        <v>1544.7</v>
      </c>
      <c r="J147" s="72" t="s">
        <v>155</v>
      </c>
      <c r="K147" s="71">
        <v>42487</v>
      </c>
      <c r="L147" s="72" t="s">
        <v>119</v>
      </c>
      <c r="M147" s="78"/>
    </row>
    <row r="148" spans="1:13" s="79" customFormat="1" ht="17.25" customHeight="1">
      <c r="A148" s="71">
        <v>42424</v>
      </c>
      <c r="B148" s="72" t="s">
        <v>349</v>
      </c>
      <c r="C148" s="72" t="s">
        <v>33</v>
      </c>
      <c r="D148" s="72" t="s">
        <v>379</v>
      </c>
      <c r="E148" s="72" t="s">
        <v>380</v>
      </c>
      <c r="F148" s="72" t="s">
        <v>381</v>
      </c>
      <c r="G148" s="73">
        <v>1000</v>
      </c>
      <c r="H148" s="74">
        <v>6.5</v>
      </c>
      <c r="I148" s="83">
        <f t="shared" si="6"/>
        <v>6500</v>
      </c>
      <c r="J148" s="71">
        <v>42506</v>
      </c>
      <c r="K148" s="71">
        <v>42522</v>
      </c>
      <c r="L148" s="72" t="s">
        <v>119</v>
      </c>
      <c r="M148" s="78"/>
    </row>
    <row r="149" spans="1:13" s="79" customFormat="1" ht="17.25" customHeight="1">
      <c r="A149" s="71">
        <v>42424</v>
      </c>
      <c r="B149" s="72" t="s">
        <v>349</v>
      </c>
      <c r="C149" s="72" t="s">
        <v>33</v>
      </c>
      <c r="D149" s="72" t="s">
        <v>379</v>
      </c>
      <c r="E149" s="72" t="s">
        <v>382</v>
      </c>
      <c r="F149" s="72" t="s">
        <v>381</v>
      </c>
      <c r="G149" s="91">
        <v>600</v>
      </c>
      <c r="H149" s="74">
        <v>6.5</v>
      </c>
      <c r="I149" s="83">
        <f t="shared" si="6"/>
        <v>3900</v>
      </c>
      <c r="J149" s="71">
        <v>42506</v>
      </c>
      <c r="K149" s="71">
        <v>42522</v>
      </c>
      <c r="L149" s="72" t="s">
        <v>119</v>
      </c>
      <c r="M149" s="78"/>
    </row>
    <row r="150" spans="1:13" s="79" customFormat="1" ht="17.25" customHeight="1">
      <c r="A150" s="71">
        <v>42433</v>
      </c>
      <c r="B150" s="72" t="s">
        <v>349</v>
      </c>
      <c r="C150" s="72" t="s">
        <v>33</v>
      </c>
      <c r="D150" s="72" t="s">
        <v>379</v>
      </c>
      <c r="E150" s="72" t="s">
        <v>383</v>
      </c>
      <c r="F150" s="72" t="s">
        <v>381</v>
      </c>
      <c r="G150" s="73">
        <v>500</v>
      </c>
      <c r="H150" s="74">
        <v>6.5</v>
      </c>
      <c r="I150" s="83">
        <f t="shared" si="6"/>
        <v>3250</v>
      </c>
      <c r="J150" s="71">
        <v>42506</v>
      </c>
      <c r="K150" s="71">
        <v>42522</v>
      </c>
      <c r="L150" s="72" t="s">
        <v>119</v>
      </c>
      <c r="M150" s="78"/>
    </row>
    <row r="151" spans="1:13" s="79" customFormat="1" ht="17.25" customHeight="1">
      <c r="A151" s="71">
        <v>42424</v>
      </c>
      <c r="B151" s="72" t="s">
        <v>349</v>
      </c>
      <c r="C151" s="72" t="s">
        <v>33</v>
      </c>
      <c r="D151" s="72" t="s">
        <v>379</v>
      </c>
      <c r="E151" s="72" t="s">
        <v>384</v>
      </c>
      <c r="F151" s="72" t="s">
        <v>381</v>
      </c>
      <c r="G151" s="73">
        <v>700</v>
      </c>
      <c r="H151" s="74">
        <v>6.5</v>
      </c>
      <c r="I151" s="83">
        <f t="shared" si="6"/>
        <v>4550</v>
      </c>
      <c r="J151" s="71">
        <v>42506</v>
      </c>
      <c r="K151" s="71">
        <v>42522</v>
      </c>
      <c r="L151" s="72" t="s">
        <v>119</v>
      </c>
      <c r="M151" s="78"/>
    </row>
    <row r="152" spans="1:13" s="79" customFormat="1" ht="17.25" customHeight="1">
      <c r="A152" s="89">
        <v>42345</v>
      </c>
      <c r="B152" s="72" t="s">
        <v>385</v>
      </c>
      <c r="C152" s="72" t="s">
        <v>386</v>
      </c>
      <c r="D152" s="72" t="s">
        <v>387</v>
      </c>
      <c r="E152" s="72" t="s">
        <v>388</v>
      </c>
      <c r="F152" s="72" t="s">
        <v>149</v>
      </c>
      <c r="G152" s="91">
        <v>96</v>
      </c>
      <c r="H152" s="74">
        <v>5.95</v>
      </c>
      <c r="I152" s="83">
        <f>G152*H152</f>
        <v>571.20000000000005</v>
      </c>
      <c r="J152" s="113" t="s">
        <v>171</v>
      </c>
      <c r="K152" s="114">
        <v>42459</v>
      </c>
      <c r="L152" s="72" t="s">
        <v>353</v>
      </c>
      <c r="M152" s="78"/>
    </row>
    <row r="153" spans="1:13" s="79" customFormat="1" ht="17.25" customHeight="1">
      <c r="A153" s="89">
        <v>42345</v>
      </c>
      <c r="B153" s="72" t="s">
        <v>385</v>
      </c>
      <c r="C153" s="72" t="s">
        <v>386</v>
      </c>
      <c r="D153" s="72" t="s">
        <v>389</v>
      </c>
      <c r="E153" s="72" t="s">
        <v>388</v>
      </c>
      <c r="F153" s="72" t="s">
        <v>149</v>
      </c>
      <c r="G153" s="91">
        <v>4724</v>
      </c>
      <c r="H153" s="74">
        <v>5.95</v>
      </c>
      <c r="I153" s="83">
        <f>G153*H153</f>
        <v>28107.8</v>
      </c>
      <c r="J153" s="113" t="s">
        <v>171</v>
      </c>
      <c r="K153" s="114">
        <v>42459</v>
      </c>
      <c r="L153" s="72" t="s">
        <v>353</v>
      </c>
      <c r="M153" s="78"/>
    </row>
    <row r="154" spans="1:13" s="79" customFormat="1" ht="17.25" customHeight="1">
      <c r="A154" s="71">
        <v>42419</v>
      </c>
      <c r="B154" s="72" t="s">
        <v>385</v>
      </c>
      <c r="C154" s="72" t="s">
        <v>32</v>
      </c>
      <c r="D154" s="72" t="s">
        <v>390</v>
      </c>
      <c r="E154" s="72" t="s">
        <v>391</v>
      </c>
      <c r="F154" s="98" t="s">
        <v>227</v>
      </c>
      <c r="G154" s="73">
        <v>3816</v>
      </c>
      <c r="H154" s="74">
        <v>6.9</v>
      </c>
      <c r="I154" s="75">
        <f>G154*H154</f>
        <v>26330.400000000001</v>
      </c>
      <c r="J154" s="71">
        <v>42513</v>
      </c>
      <c r="K154" s="71">
        <v>42529</v>
      </c>
      <c r="L154" s="72" t="s">
        <v>130</v>
      </c>
      <c r="M154" s="78"/>
    </row>
    <row r="155" spans="1:13" s="79" customFormat="1" ht="17.25" customHeight="1">
      <c r="A155" s="89">
        <v>42404</v>
      </c>
      <c r="B155" s="80" t="s">
        <v>392</v>
      </c>
      <c r="C155" s="80" t="s">
        <v>386</v>
      </c>
      <c r="D155" s="80" t="s">
        <v>393</v>
      </c>
      <c r="E155" s="80" t="s">
        <v>394</v>
      </c>
      <c r="F155" s="80" t="s">
        <v>154</v>
      </c>
      <c r="G155" s="90">
        <v>144</v>
      </c>
      <c r="H155" s="115">
        <v>6.1</v>
      </c>
      <c r="I155" s="83">
        <f t="shared" ref="I155:I179" si="7">G155*H155</f>
        <v>878.4</v>
      </c>
      <c r="J155" s="80" t="s">
        <v>232</v>
      </c>
      <c r="K155" s="116">
        <v>42501</v>
      </c>
      <c r="L155" s="80" t="s">
        <v>395</v>
      </c>
      <c r="M155" s="78"/>
    </row>
    <row r="156" spans="1:13" s="79" customFormat="1" ht="17.25" customHeight="1">
      <c r="A156" s="89">
        <v>42404</v>
      </c>
      <c r="B156" s="80" t="s">
        <v>392</v>
      </c>
      <c r="C156" s="80" t="s">
        <v>386</v>
      </c>
      <c r="D156" s="80" t="s">
        <v>396</v>
      </c>
      <c r="E156" s="80" t="s">
        <v>394</v>
      </c>
      <c r="F156" s="80" t="s">
        <v>154</v>
      </c>
      <c r="G156" s="90">
        <v>1008</v>
      </c>
      <c r="H156" s="115">
        <v>6.1</v>
      </c>
      <c r="I156" s="83">
        <f t="shared" si="7"/>
        <v>6148.7999999999993</v>
      </c>
      <c r="J156" s="80" t="s">
        <v>232</v>
      </c>
      <c r="K156" s="116">
        <v>42501</v>
      </c>
      <c r="L156" s="80" t="s">
        <v>395</v>
      </c>
      <c r="M156" s="78"/>
    </row>
    <row r="157" spans="1:13" s="79" customFormat="1" ht="17.25" customHeight="1">
      <c r="A157" s="89">
        <v>42404</v>
      </c>
      <c r="B157" s="80" t="s">
        <v>392</v>
      </c>
      <c r="C157" s="80" t="s">
        <v>386</v>
      </c>
      <c r="D157" s="80" t="s">
        <v>397</v>
      </c>
      <c r="E157" s="80" t="s">
        <v>394</v>
      </c>
      <c r="F157" s="80" t="s">
        <v>154</v>
      </c>
      <c r="G157" s="90">
        <v>24</v>
      </c>
      <c r="H157" s="115">
        <v>6.1</v>
      </c>
      <c r="I157" s="83">
        <f t="shared" si="7"/>
        <v>146.39999999999998</v>
      </c>
      <c r="J157" s="80" t="s">
        <v>232</v>
      </c>
      <c r="K157" s="116">
        <v>42501</v>
      </c>
      <c r="L157" s="80" t="s">
        <v>395</v>
      </c>
      <c r="M157" s="78"/>
    </row>
    <row r="158" spans="1:13" s="79" customFormat="1" ht="17.25" customHeight="1">
      <c r="A158" s="89">
        <v>42404</v>
      </c>
      <c r="B158" s="80" t="s">
        <v>392</v>
      </c>
      <c r="C158" s="80" t="s">
        <v>386</v>
      </c>
      <c r="D158" s="80" t="s">
        <v>398</v>
      </c>
      <c r="E158" s="80" t="s">
        <v>394</v>
      </c>
      <c r="F158" s="80" t="s">
        <v>154</v>
      </c>
      <c r="G158" s="90">
        <v>86512</v>
      </c>
      <c r="H158" s="115">
        <v>6.1</v>
      </c>
      <c r="I158" s="83">
        <f t="shared" si="7"/>
        <v>527723.19999999995</v>
      </c>
      <c r="J158" s="80" t="s">
        <v>232</v>
      </c>
      <c r="K158" s="116">
        <v>42501</v>
      </c>
      <c r="L158" s="80" t="s">
        <v>395</v>
      </c>
      <c r="M158" s="78"/>
    </row>
    <row r="159" spans="1:13" s="79" customFormat="1" ht="17.25" customHeight="1">
      <c r="A159" s="89">
        <v>42404</v>
      </c>
      <c r="B159" s="80" t="s">
        <v>392</v>
      </c>
      <c r="C159" s="80" t="s">
        <v>386</v>
      </c>
      <c r="D159" s="80" t="s">
        <v>399</v>
      </c>
      <c r="E159" s="80" t="s">
        <v>394</v>
      </c>
      <c r="F159" s="80" t="s">
        <v>154</v>
      </c>
      <c r="G159" s="90">
        <v>840</v>
      </c>
      <c r="H159" s="115">
        <v>6.1</v>
      </c>
      <c r="I159" s="83">
        <f t="shared" si="7"/>
        <v>5124</v>
      </c>
      <c r="J159" s="80" t="s">
        <v>232</v>
      </c>
      <c r="K159" s="116">
        <v>42501</v>
      </c>
      <c r="L159" s="80" t="s">
        <v>395</v>
      </c>
      <c r="M159" s="78"/>
    </row>
    <row r="160" spans="1:13" s="79" customFormat="1" ht="17.25" customHeight="1">
      <c r="A160" s="71">
        <v>42361</v>
      </c>
      <c r="B160" s="72" t="s">
        <v>392</v>
      </c>
      <c r="C160" s="72" t="s">
        <v>121</v>
      </c>
      <c r="D160" s="72" t="s">
        <v>400</v>
      </c>
      <c r="E160" s="72" t="s">
        <v>401</v>
      </c>
      <c r="F160" s="72" t="s">
        <v>117</v>
      </c>
      <c r="G160" s="73">
        <v>21211</v>
      </c>
      <c r="H160" s="74">
        <v>5.75</v>
      </c>
      <c r="I160" s="75">
        <f t="shared" si="7"/>
        <v>121963.25</v>
      </c>
      <c r="J160" s="72" t="s">
        <v>155</v>
      </c>
      <c r="K160" s="71">
        <v>42487</v>
      </c>
      <c r="L160" s="72" t="s">
        <v>119</v>
      </c>
      <c r="M160" s="78"/>
    </row>
    <row r="161" spans="1:13" s="79" customFormat="1" ht="17.25" customHeight="1">
      <c r="A161" s="71">
        <v>42383</v>
      </c>
      <c r="B161" s="72" t="s">
        <v>392</v>
      </c>
      <c r="C161" s="72" t="s">
        <v>121</v>
      </c>
      <c r="D161" s="72" t="s">
        <v>402</v>
      </c>
      <c r="E161" s="72" t="s">
        <v>401</v>
      </c>
      <c r="F161" s="72" t="s">
        <v>199</v>
      </c>
      <c r="G161" s="73">
        <v>210</v>
      </c>
      <c r="H161" s="74">
        <v>5.55</v>
      </c>
      <c r="I161" s="75">
        <f t="shared" si="7"/>
        <v>1165.5</v>
      </c>
      <c r="J161" s="72" t="s">
        <v>155</v>
      </c>
      <c r="K161" s="71">
        <v>42487</v>
      </c>
      <c r="L161" s="72" t="s">
        <v>119</v>
      </c>
      <c r="M161" s="78"/>
    </row>
    <row r="162" spans="1:13" s="79" customFormat="1" ht="17.25" customHeight="1">
      <c r="A162" s="71">
        <v>42401</v>
      </c>
      <c r="B162" s="72" t="s">
        <v>392</v>
      </c>
      <c r="C162" s="72" t="s">
        <v>121</v>
      </c>
      <c r="D162" s="72" t="s">
        <v>403</v>
      </c>
      <c r="E162" s="72" t="s">
        <v>401</v>
      </c>
      <c r="F162" s="72" t="s">
        <v>182</v>
      </c>
      <c r="G162" s="73">
        <v>714</v>
      </c>
      <c r="H162" s="74">
        <v>5.75</v>
      </c>
      <c r="I162" s="75">
        <f t="shared" si="7"/>
        <v>4105.5</v>
      </c>
      <c r="J162" s="72" t="s">
        <v>155</v>
      </c>
      <c r="K162" s="71">
        <v>42487</v>
      </c>
      <c r="L162" s="72" t="s">
        <v>119</v>
      </c>
      <c r="M162" s="78"/>
    </row>
    <row r="163" spans="1:13" s="79" customFormat="1" ht="17.25" customHeight="1">
      <c r="A163" s="71">
        <v>42361</v>
      </c>
      <c r="B163" s="72" t="s">
        <v>392</v>
      </c>
      <c r="C163" s="72" t="s">
        <v>121</v>
      </c>
      <c r="D163" s="72" t="s">
        <v>404</v>
      </c>
      <c r="E163" s="72" t="s">
        <v>405</v>
      </c>
      <c r="F163" s="72" t="s">
        <v>117</v>
      </c>
      <c r="G163" s="73">
        <v>18978</v>
      </c>
      <c r="H163" s="74">
        <v>7.8</v>
      </c>
      <c r="I163" s="75">
        <f t="shared" si="7"/>
        <v>148028.4</v>
      </c>
      <c r="J163" s="72" t="s">
        <v>155</v>
      </c>
      <c r="K163" s="71">
        <v>42487</v>
      </c>
      <c r="L163" s="72" t="s">
        <v>119</v>
      </c>
      <c r="M163" s="78"/>
    </row>
    <row r="164" spans="1:13" s="79" customFormat="1" ht="17.25" customHeight="1">
      <c r="A164" s="71">
        <v>42383</v>
      </c>
      <c r="B164" s="72" t="s">
        <v>392</v>
      </c>
      <c r="C164" s="72" t="s">
        <v>121</v>
      </c>
      <c r="D164" s="72" t="s">
        <v>406</v>
      </c>
      <c r="E164" s="72" t="s">
        <v>405</v>
      </c>
      <c r="F164" s="72" t="s">
        <v>199</v>
      </c>
      <c r="G164" s="73">
        <v>191</v>
      </c>
      <c r="H164" s="74">
        <v>7.6</v>
      </c>
      <c r="I164" s="75">
        <f t="shared" si="7"/>
        <v>1451.6</v>
      </c>
      <c r="J164" s="72" t="s">
        <v>155</v>
      </c>
      <c r="K164" s="71">
        <v>42487</v>
      </c>
      <c r="L164" s="72" t="s">
        <v>119</v>
      </c>
      <c r="M164" s="78"/>
    </row>
    <row r="165" spans="1:13" s="79" customFormat="1" ht="17.25" customHeight="1">
      <c r="A165" s="71">
        <v>42361</v>
      </c>
      <c r="B165" s="72" t="s">
        <v>392</v>
      </c>
      <c r="C165" s="72" t="s">
        <v>121</v>
      </c>
      <c r="D165" s="72" t="s">
        <v>407</v>
      </c>
      <c r="E165" s="72" t="s">
        <v>408</v>
      </c>
      <c r="F165" s="72" t="s">
        <v>117</v>
      </c>
      <c r="G165" s="73">
        <v>18811</v>
      </c>
      <c r="H165" s="74">
        <v>6.15</v>
      </c>
      <c r="I165" s="75">
        <f t="shared" si="7"/>
        <v>115687.65000000001</v>
      </c>
      <c r="J165" s="72" t="s">
        <v>155</v>
      </c>
      <c r="K165" s="71">
        <v>42487</v>
      </c>
      <c r="L165" s="72" t="s">
        <v>119</v>
      </c>
      <c r="M165" s="78"/>
    </row>
    <row r="166" spans="1:13" s="79" customFormat="1" ht="17.25" customHeight="1">
      <c r="A166" s="71">
        <v>42383</v>
      </c>
      <c r="B166" s="72" t="s">
        <v>392</v>
      </c>
      <c r="C166" s="72" t="s">
        <v>121</v>
      </c>
      <c r="D166" s="72" t="s">
        <v>409</v>
      </c>
      <c r="E166" s="72" t="s">
        <v>408</v>
      </c>
      <c r="F166" s="72" t="s">
        <v>199</v>
      </c>
      <c r="G166" s="73">
        <v>190</v>
      </c>
      <c r="H166" s="74">
        <v>5.95</v>
      </c>
      <c r="I166" s="75">
        <f t="shared" si="7"/>
        <v>1130.5</v>
      </c>
      <c r="J166" s="72" t="s">
        <v>155</v>
      </c>
      <c r="K166" s="71">
        <v>42487</v>
      </c>
      <c r="L166" s="72" t="s">
        <v>119</v>
      </c>
      <c r="M166" s="78"/>
    </row>
    <row r="167" spans="1:13" s="79" customFormat="1" ht="17.25" customHeight="1">
      <c r="A167" s="71">
        <v>42401</v>
      </c>
      <c r="B167" s="72" t="s">
        <v>392</v>
      </c>
      <c r="C167" s="72" t="s">
        <v>121</v>
      </c>
      <c r="D167" s="72" t="s">
        <v>410</v>
      </c>
      <c r="E167" s="72" t="s">
        <v>408</v>
      </c>
      <c r="F167" s="72" t="s">
        <v>182</v>
      </c>
      <c r="G167" s="73">
        <v>714</v>
      </c>
      <c r="H167" s="74">
        <v>6.15</v>
      </c>
      <c r="I167" s="75">
        <f t="shared" si="7"/>
        <v>4391.1000000000004</v>
      </c>
      <c r="J167" s="72" t="s">
        <v>155</v>
      </c>
      <c r="K167" s="71">
        <v>42487</v>
      </c>
      <c r="L167" s="72" t="s">
        <v>119</v>
      </c>
      <c r="M167" s="78"/>
    </row>
    <row r="168" spans="1:13" s="79" customFormat="1" ht="17.25" customHeight="1">
      <c r="A168" s="71">
        <v>42369</v>
      </c>
      <c r="B168" s="72" t="s">
        <v>392</v>
      </c>
      <c r="C168" s="72" t="s">
        <v>121</v>
      </c>
      <c r="D168" s="72" t="s">
        <v>411</v>
      </c>
      <c r="E168" s="72" t="s">
        <v>408</v>
      </c>
      <c r="F168" s="72"/>
      <c r="G168" s="73">
        <v>6</v>
      </c>
      <c r="H168" s="74">
        <v>5.95</v>
      </c>
      <c r="I168" s="75">
        <f t="shared" si="7"/>
        <v>35.700000000000003</v>
      </c>
      <c r="J168" s="72" t="s">
        <v>155</v>
      </c>
      <c r="K168" s="71">
        <v>42487</v>
      </c>
      <c r="L168" s="72" t="s">
        <v>119</v>
      </c>
      <c r="M168" s="78"/>
    </row>
    <row r="169" spans="1:13" s="79" customFormat="1" ht="17.25" customHeight="1">
      <c r="A169" s="71">
        <v>42340</v>
      </c>
      <c r="B169" s="81" t="s">
        <v>392</v>
      </c>
      <c r="C169" s="82" t="s">
        <v>125</v>
      </c>
      <c r="D169" s="72" t="s">
        <v>412</v>
      </c>
      <c r="E169" s="72" t="s">
        <v>413</v>
      </c>
      <c r="F169" s="72" t="s">
        <v>117</v>
      </c>
      <c r="G169" s="73">
        <v>20000</v>
      </c>
      <c r="H169" s="74">
        <v>7.2</v>
      </c>
      <c r="I169" s="83">
        <f t="shared" si="7"/>
        <v>144000</v>
      </c>
      <c r="J169" s="84" t="s">
        <v>246</v>
      </c>
      <c r="K169" s="95">
        <v>42454</v>
      </c>
      <c r="L169" s="72" t="s">
        <v>130</v>
      </c>
      <c r="M169" s="78"/>
    </row>
    <row r="170" spans="1:13" s="79" customFormat="1" ht="17.25" customHeight="1">
      <c r="A170" s="71">
        <v>42342</v>
      </c>
      <c r="B170" s="81" t="s">
        <v>392</v>
      </c>
      <c r="C170" s="82" t="s">
        <v>125</v>
      </c>
      <c r="D170" s="72" t="s">
        <v>414</v>
      </c>
      <c r="E170" s="72" t="s">
        <v>415</v>
      </c>
      <c r="F170" s="72" t="s">
        <v>416</v>
      </c>
      <c r="G170" s="73">
        <v>1008</v>
      </c>
      <c r="H170" s="74">
        <v>6.2</v>
      </c>
      <c r="I170" s="83">
        <f t="shared" si="7"/>
        <v>6249.6</v>
      </c>
      <c r="J170" s="84" t="s">
        <v>417</v>
      </c>
      <c r="K170" s="95">
        <v>42430</v>
      </c>
      <c r="L170" s="72" t="s">
        <v>130</v>
      </c>
      <c r="M170" s="78"/>
    </row>
    <row r="171" spans="1:13" s="79" customFormat="1" ht="17.25" customHeight="1">
      <c r="A171" s="71">
        <v>42332</v>
      </c>
      <c r="B171" s="72" t="s">
        <v>392</v>
      </c>
      <c r="C171" s="72" t="s">
        <v>30</v>
      </c>
      <c r="D171" s="72" t="s">
        <v>418</v>
      </c>
      <c r="E171" s="72" t="s">
        <v>419</v>
      </c>
      <c r="F171" s="98" t="s">
        <v>154</v>
      </c>
      <c r="G171" s="73">
        <v>1296</v>
      </c>
      <c r="H171" s="74">
        <v>4.1500000000000004</v>
      </c>
      <c r="I171" s="75">
        <f t="shared" si="7"/>
        <v>5378.4000000000005</v>
      </c>
      <c r="J171" s="72" t="s">
        <v>171</v>
      </c>
      <c r="K171" s="71">
        <v>42093</v>
      </c>
      <c r="L171" s="72" t="s">
        <v>130</v>
      </c>
      <c r="M171" s="78"/>
    </row>
    <row r="172" spans="1:13" s="79" customFormat="1" ht="17.25" customHeight="1">
      <c r="A172" s="71">
        <v>42332</v>
      </c>
      <c r="B172" s="72" t="s">
        <v>392</v>
      </c>
      <c r="C172" s="72" t="s">
        <v>30</v>
      </c>
      <c r="D172" s="72" t="s">
        <v>420</v>
      </c>
      <c r="E172" s="72" t="s">
        <v>419</v>
      </c>
      <c r="F172" s="98" t="s">
        <v>154</v>
      </c>
      <c r="G172" s="73">
        <v>96240</v>
      </c>
      <c r="H172" s="74">
        <v>4.1500000000000004</v>
      </c>
      <c r="I172" s="75">
        <f t="shared" si="7"/>
        <v>399396.00000000006</v>
      </c>
      <c r="J172" s="72" t="s">
        <v>174</v>
      </c>
      <c r="K172" s="71">
        <v>42466</v>
      </c>
      <c r="L172" s="72" t="s">
        <v>130</v>
      </c>
      <c r="M172" s="78"/>
    </row>
    <row r="173" spans="1:13" s="79" customFormat="1" ht="17.25" customHeight="1">
      <c r="A173" s="71">
        <v>42385</v>
      </c>
      <c r="B173" s="72" t="s">
        <v>392</v>
      </c>
      <c r="C173" s="72" t="s">
        <v>31</v>
      </c>
      <c r="D173" s="72" t="s">
        <v>421</v>
      </c>
      <c r="E173" s="72" t="s">
        <v>422</v>
      </c>
      <c r="F173" s="98" t="s">
        <v>154</v>
      </c>
      <c r="G173" s="73">
        <v>2646</v>
      </c>
      <c r="H173" s="74">
        <v>5.55</v>
      </c>
      <c r="I173" s="75">
        <f t="shared" si="7"/>
        <v>14685.3</v>
      </c>
      <c r="J173" s="72" t="s">
        <v>158</v>
      </c>
      <c r="K173" s="71">
        <v>42543</v>
      </c>
      <c r="L173" s="72" t="s">
        <v>119</v>
      </c>
      <c r="M173" s="78"/>
    </row>
    <row r="174" spans="1:13" s="79" customFormat="1" ht="17.25" customHeight="1">
      <c r="A174" s="71">
        <v>42385</v>
      </c>
      <c r="B174" s="72" t="s">
        <v>392</v>
      </c>
      <c r="C174" s="72" t="s">
        <v>31</v>
      </c>
      <c r="D174" s="72" t="s">
        <v>423</v>
      </c>
      <c r="E174" s="72" t="s">
        <v>422</v>
      </c>
      <c r="F174" s="98" t="s">
        <v>154</v>
      </c>
      <c r="G174" s="73">
        <v>275886</v>
      </c>
      <c r="H174" s="74">
        <v>5.55</v>
      </c>
      <c r="I174" s="75">
        <f t="shared" si="7"/>
        <v>1531167.3</v>
      </c>
      <c r="J174" s="72" t="s">
        <v>167</v>
      </c>
      <c r="K174" s="71">
        <v>42557</v>
      </c>
      <c r="L174" s="72" t="s">
        <v>119</v>
      </c>
      <c r="M174" s="78"/>
    </row>
    <row r="175" spans="1:13" s="79" customFormat="1" ht="17.25" customHeight="1">
      <c r="A175" s="71">
        <v>42385</v>
      </c>
      <c r="B175" s="72" t="s">
        <v>392</v>
      </c>
      <c r="C175" s="72" t="s">
        <v>31</v>
      </c>
      <c r="D175" s="72" t="s">
        <v>424</v>
      </c>
      <c r="E175" s="72" t="s">
        <v>422</v>
      </c>
      <c r="F175" s="98" t="s">
        <v>154</v>
      </c>
      <c r="G175" s="73">
        <v>2862</v>
      </c>
      <c r="H175" s="74">
        <v>5.55</v>
      </c>
      <c r="I175" s="75">
        <f t="shared" si="7"/>
        <v>15884.1</v>
      </c>
      <c r="J175" s="72" t="s">
        <v>425</v>
      </c>
      <c r="K175" s="71">
        <v>42578</v>
      </c>
      <c r="L175" s="72" t="s">
        <v>119</v>
      </c>
      <c r="M175" s="78"/>
    </row>
    <row r="176" spans="1:13" s="79" customFormat="1" ht="17.25" customHeight="1">
      <c r="A176" s="71">
        <v>42431</v>
      </c>
      <c r="B176" s="72" t="s">
        <v>392</v>
      </c>
      <c r="C176" s="72" t="s">
        <v>30</v>
      </c>
      <c r="D176" s="72" t="s">
        <v>426</v>
      </c>
      <c r="E176" s="72" t="s">
        <v>427</v>
      </c>
      <c r="F176" s="72" t="s">
        <v>154</v>
      </c>
      <c r="G176" s="73">
        <v>75600</v>
      </c>
      <c r="H176" s="74">
        <v>4.2</v>
      </c>
      <c r="I176" s="83">
        <f t="shared" si="7"/>
        <v>317520</v>
      </c>
      <c r="J176" s="71">
        <v>42513</v>
      </c>
      <c r="K176" s="71">
        <v>42529</v>
      </c>
      <c r="L176" s="72" t="s">
        <v>130</v>
      </c>
      <c r="M176" s="78"/>
    </row>
    <row r="177" spans="1:13" s="79" customFormat="1" ht="17.25" customHeight="1">
      <c r="A177" s="71">
        <v>42387</v>
      </c>
      <c r="B177" s="72" t="s">
        <v>392</v>
      </c>
      <c r="C177" s="72" t="s">
        <v>31</v>
      </c>
      <c r="D177" s="100" t="s">
        <v>428</v>
      </c>
      <c r="E177" s="72" t="s">
        <v>429</v>
      </c>
      <c r="F177" s="72" t="s">
        <v>154</v>
      </c>
      <c r="G177" s="90">
        <v>124288</v>
      </c>
      <c r="H177" s="74">
        <v>3.55</v>
      </c>
      <c r="I177" s="83">
        <f t="shared" si="7"/>
        <v>441222.39999999997</v>
      </c>
      <c r="J177" s="72" t="s">
        <v>124</v>
      </c>
      <c r="K177" s="71">
        <v>42515</v>
      </c>
      <c r="L177" s="72" t="s">
        <v>119</v>
      </c>
      <c r="M177" s="78"/>
    </row>
    <row r="178" spans="1:13" s="79" customFormat="1" ht="17.25" customHeight="1">
      <c r="A178" s="71">
        <v>42417</v>
      </c>
      <c r="B178" s="72" t="s">
        <v>392</v>
      </c>
      <c r="C178" s="72" t="s">
        <v>31</v>
      </c>
      <c r="D178" s="100" t="s">
        <v>430</v>
      </c>
      <c r="E178" s="72" t="s">
        <v>431</v>
      </c>
      <c r="F178" s="72" t="s">
        <v>154</v>
      </c>
      <c r="G178" s="90">
        <v>656</v>
      </c>
      <c r="H178" s="74">
        <v>4.5</v>
      </c>
      <c r="I178" s="83">
        <f t="shared" si="7"/>
        <v>2952</v>
      </c>
      <c r="J178" s="72" t="s">
        <v>165</v>
      </c>
      <c r="K178" s="71">
        <v>42529</v>
      </c>
      <c r="L178" s="72" t="s">
        <v>130</v>
      </c>
      <c r="M178" s="78"/>
    </row>
    <row r="179" spans="1:13" s="79" customFormat="1" ht="17.25" customHeight="1">
      <c r="A179" s="71">
        <v>42417</v>
      </c>
      <c r="B179" s="72" t="s">
        <v>392</v>
      </c>
      <c r="C179" s="72" t="s">
        <v>31</v>
      </c>
      <c r="D179" s="100" t="s">
        <v>432</v>
      </c>
      <c r="E179" s="72" t="s">
        <v>431</v>
      </c>
      <c r="F179" s="72" t="s">
        <v>154</v>
      </c>
      <c r="G179" s="91">
        <v>47632</v>
      </c>
      <c r="H179" s="74">
        <v>4.5</v>
      </c>
      <c r="I179" s="83">
        <f t="shared" si="7"/>
        <v>214344</v>
      </c>
      <c r="J179" s="72" t="s">
        <v>165</v>
      </c>
      <c r="K179" s="71">
        <v>42529</v>
      </c>
      <c r="L179" s="72" t="s">
        <v>130</v>
      </c>
      <c r="M179" s="78"/>
    </row>
    <row r="180" spans="1:13" s="79" customFormat="1" ht="17.25" customHeight="1">
      <c r="A180" s="89">
        <v>42418</v>
      </c>
      <c r="B180" s="72" t="s">
        <v>433</v>
      </c>
      <c r="C180" s="72" t="s">
        <v>350</v>
      </c>
      <c r="D180" s="72">
        <v>4103</v>
      </c>
      <c r="E180" s="72" t="s">
        <v>434</v>
      </c>
      <c r="F180" s="72" t="s">
        <v>227</v>
      </c>
      <c r="G180" s="90">
        <v>528</v>
      </c>
      <c r="H180" s="74">
        <v>3.7</v>
      </c>
      <c r="I180" s="83">
        <f t="shared" ref="I180:I201" si="8">G180*H180</f>
        <v>1953.6000000000001</v>
      </c>
      <c r="J180" s="72" t="s">
        <v>118</v>
      </c>
      <c r="K180" s="71">
        <v>42515</v>
      </c>
      <c r="L180" s="105" t="s">
        <v>130</v>
      </c>
      <c r="M180" s="78"/>
    </row>
    <row r="181" spans="1:13" s="79" customFormat="1" ht="17.25" customHeight="1">
      <c r="A181" s="89">
        <v>42418</v>
      </c>
      <c r="B181" s="72" t="s">
        <v>433</v>
      </c>
      <c r="C181" s="72" t="s">
        <v>350</v>
      </c>
      <c r="D181" s="72">
        <v>4104</v>
      </c>
      <c r="E181" s="72" t="s">
        <v>434</v>
      </c>
      <c r="F181" s="72" t="s">
        <v>227</v>
      </c>
      <c r="G181" s="90">
        <v>1892</v>
      </c>
      <c r="H181" s="74">
        <v>3.7</v>
      </c>
      <c r="I181" s="83">
        <f t="shared" si="8"/>
        <v>7000.4000000000005</v>
      </c>
      <c r="J181" s="72" t="s">
        <v>118</v>
      </c>
      <c r="K181" s="71">
        <v>42515</v>
      </c>
      <c r="L181" s="105" t="s">
        <v>130</v>
      </c>
      <c r="M181" s="78"/>
    </row>
    <row r="182" spans="1:13" s="79" customFormat="1" ht="17.25" customHeight="1">
      <c r="A182" s="89">
        <v>42418</v>
      </c>
      <c r="B182" s="72" t="s">
        <v>433</v>
      </c>
      <c r="C182" s="72" t="s">
        <v>350</v>
      </c>
      <c r="D182" s="72">
        <v>4105</v>
      </c>
      <c r="E182" s="72" t="s">
        <v>434</v>
      </c>
      <c r="F182" s="72" t="s">
        <v>227</v>
      </c>
      <c r="G182" s="90">
        <v>8985</v>
      </c>
      <c r="H182" s="74">
        <v>3.85</v>
      </c>
      <c r="I182" s="83">
        <f t="shared" si="8"/>
        <v>34592.25</v>
      </c>
      <c r="J182" s="72" t="s">
        <v>118</v>
      </c>
      <c r="K182" s="71">
        <v>42515</v>
      </c>
      <c r="L182" s="105" t="s">
        <v>130</v>
      </c>
      <c r="M182" s="78"/>
    </row>
    <row r="183" spans="1:13" s="79" customFormat="1" ht="17.25" customHeight="1">
      <c r="A183" s="89">
        <v>42418</v>
      </c>
      <c r="B183" s="72" t="s">
        <v>433</v>
      </c>
      <c r="C183" s="72" t="s">
        <v>350</v>
      </c>
      <c r="D183" s="72">
        <v>4106</v>
      </c>
      <c r="E183" s="72" t="s">
        <v>434</v>
      </c>
      <c r="F183" s="72" t="s">
        <v>227</v>
      </c>
      <c r="G183" s="90">
        <v>122</v>
      </c>
      <c r="H183" s="74">
        <v>3.85</v>
      </c>
      <c r="I183" s="83">
        <f t="shared" si="8"/>
        <v>469.7</v>
      </c>
      <c r="J183" s="72" t="s">
        <v>155</v>
      </c>
      <c r="K183" s="71">
        <v>42482</v>
      </c>
      <c r="L183" s="105" t="s">
        <v>130</v>
      </c>
      <c r="M183" s="78"/>
    </row>
    <row r="184" spans="1:13" s="79" customFormat="1" ht="17.25" customHeight="1">
      <c r="A184" s="89">
        <v>42420</v>
      </c>
      <c r="B184" s="72" t="s">
        <v>433</v>
      </c>
      <c r="C184" s="72" t="s">
        <v>350</v>
      </c>
      <c r="D184" s="72" t="s">
        <v>435</v>
      </c>
      <c r="E184" s="72" t="s">
        <v>434</v>
      </c>
      <c r="F184" s="72" t="s">
        <v>272</v>
      </c>
      <c r="G184" s="90">
        <v>1324</v>
      </c>
      <c r="H184" s="74">
        <v>4.5</v>
      </c>
      <c r="I184" s="83">
        <f t="shared" si="8"/>
        <v>5958</v>
      </c>
      <c r="J184" s="72" t="s">
        <v>261</v>
      </c>
      <c r="K184" s="71">
        <v>42531</v>
      </c>
      <c r="L184" s="105" t="s">
        <v>130</v>
      </c>
      <c r="M184" s="78"/>
    </row>
    <row r="185" spans="1:13" s="79" customFormat="1" ht="17.25" customHeight="1">
      <c r="A185" s="89">
        <v>42424</v>
      </c>
      <c r="B185" s="72" t="s">
        <v>433</v>
      </c>
      <c r="C185" s="72" t="s">
        <v>350</v>
      </c>
      <c r="D185" s="72" t="s">
        <v>436</v>
      </c>
      <c r="E185" s="72" t="s">
        <v>434</v>
      </c>
      <c r="F185" s="72" t="s">
        <v>437</v>
      </c>
      <c r="G185" s="90">
        <v>5616</v>
      </c>
      <c r="H185" s="74">
        <v>3.85</v>
      </c>
      <c r="I185" s="83">
        <f t="shared" si="8"/>
        <v>21621.600000000002</v>
      </c>
      <c r="J185" s="72" t="s">
        <v>118</v>
      </c>
      <c r="K185" s="71">
        <v>42515</v>
      </c>
      <c r="L185" s="105" t="s">
        <v>130</v>
      </c>
      <c r="M185" s="78"/>
    </row>
    <row r="186" spans="1:13" s="79" customFormat="1" ht="17.25" customHeight="1">
      <c r="A186" s="71">
        <v>42328</v>
      </c>
      <c r="B186" s="72" t="s">
        <v>438</v>
      </c>
      <c r="C186" s="72" t="s">
        <v>30</v>
      </c>
      <c r="D186" s="72" t="s">
        <v>439</v>
      </c>
      <c r="E186" s="72" t="s">
        <v>440</v>
      </c>
      <c r="F186" s="98" t="s">
        <v>154</v>
      </c>
      <c r="G186" s="73">
        <v>17928</v>
      </c>
      <c r="H186" s="74"/>
      <c r="I186" s="75">
        <f t="shared" si="8"/>
        <v>0</v>
      </c>
      <c r="J186" s="72" t="s">
        <v>174</v>
      </c>
      <c r="K186" s="116">
        <v>42466</v>
      </c>
      <c r="L186" s="72" t="s">
        <v>130</v>
      </c>
      <c r="M186" s="78"/>
    </row>
    <row r="187" spans="1:13" s="79" customFormat="1" ht="17.25" customHeight="1">
      <c r="A187" s="71">
        <v>42328</v>
      </c>
      <c r="B187" s="72" t="s">
        <v>438</v>
      </c>
      <c r="C187" s="72" t="s">
        <v>30</v>
      </c>
      <c r="D187" s="72" t="s">
        <v>439</v>
      </c>
      <c r="E187" s="72" t="s">
        <v>441</v>
      </c>
      <c r="F187" s="98" t="s">
        <v>154</v>
      </c>
      <c r="G187" s="73">
        <v>14848</v>
      </c>
      <c r="H187" s="74"/>
      <c r="I187" s="75">
        <f t="shared" si="8"/>
        <v>0</v>
      </c>
      <c r="J187" s="72" t="s">
        <v>174</v>
      </c>
      <c r="K187" s="116">
        <v>42466</v>
      </c>
      <c r="L187" s="72" t="s">
        <v>130</v>
      </c>
      <c r="M187" s="78"/>
    </row>
    <row r="188" spans="1:13" s="79" customFormat="1" ht="17.25" customHeight="1">
      <c r="A188" s="71">
        <v>42328</v>
      </c>
      <c r="B188" s="72" t="s">
        <v>438</v>
      </c>
      <c r="C188" s="72" t="s">
        <v>30</v>
      </c>
      <c r="D188" s="72" t="s">
        <v>439</v>
      </c>
      <c r="E188" s="72" t="s">
        <v>442</v>
      </c>
      <c r="F188" s="98" t="s">
        <v>154</v>
      </c>
      <c r="G188" s="73">
        <v>3626</v>
      </c>
      <c r="H188" s="74"/>
      <c r="I188" s="75">
        <f t="shared" si="8"/>
        <v>0</v>
      </c>
      <c r="J188" s="72" t="s">
        <v>174</v>
      </c>
      <c r="K188" s="116">
        <v>42466</v>
      </c>
      <c r="L188" s="72" t="s">
        <v>130</v>
      </c>
      <c r="M188" s="78"/>
    </row>
    <row r="189" spans="1:13" s="79" customFormat="1" ht="17.25" customHeight="1">
      <c r="A189" s="71">
        <v>42328</v>
      </c>
      <c r="B189" s="72" t="s">
        <v>438</v>
      </c>
      <c r="C189" s="72" t="s">
        <v>30</v>
      </c>
      <c r="D189" s="72" t="s">
        <v>439</v>
      </c>
      <c r="E189" s="72" t="s">
        <v>443</v>
      </c>
      <c r="F189" s="98" t="s">
        <v>154</v>
      </c>
      <c r="G189" s="73">
        <v>17928</v>
      </c>
      <c r="H189" s="74"/>
      <c r="I189" s="75">
        <f t="shared" si="8"/>
        <v>0</v>
      </c>
      <c r="J189" s="72" t="s">
        <v>174</v>
      </c>
      <c r="K189" s="116">
        <v>42466</v>
      </c>
      <c r="L189" s="72" t="s">
        <v>130</v>
      </c>
      <c r="M189" s="78"/>
    </row>
    <row r="190" spans="1:13" s="79" customFormat="1" ht="17.25" customHeight="1">
      <c r="A190" s="71">
        <v>42291</v>
      </c>
      <c r="B190" s="72" t="s">
        <v>438</v>
      </c>
      <c r="C190" s="72" t="s">
        <v>31</v>
      </c>
      <c r="D190" s="72" t="s">
        <v>444</v>
      </c>
      <c r="E190" s="72" t="s">
        <v>445</v>
      </c>
      <c r="F190" s="72" t="s">
        <v>446</v>
      </c>
      <c r="G190" s="73">
        <v>4446</v>
      </c>
      <c r="H190" s="74">
        <v>4.5</v>
      </c>
      <c r="I190" s="83">
        <f t="shared" si="8"/>
        <v>20007</v>
      </c>
      <c r="J190" s="72" t="s">
        <v>246</v>
      </c>
      <c r="K190" s="71">
        <v>42459</v>
      </c>
      <c r="L190" s="72" t="s">
        <v>130</v>
      </c>
      <c r="M190" s="78"/>
    </row>
    <row r="191" spans="1:13" s="79" customFormat="1" ht="17.25" customHeight="1">
      <c r="A191" s="71">
        <v>42331</v>
      </c>
      <c r="B191" s="72" t="s">
        <v>438</v>
      </c>
      <c r="C191" s="72" t="s">
        <v>447</v>
      </c>
      <c r="D191" s="72" t="s">
        <v>448</v>
      </c>
      <c r="E191" s="72" t="s">
        <v>449</v>
      </c>
      <c r="F191" s="72" t="s">
        <v>274</v>
      </c>
      <c r="G191" s="90">
        <v>4800</v>
      </c>
      <c r="H191" s="74">
        <v>3.65</v>
      </c>
      <c r="I191" s="83">
        <f t="shared" si="8"/>
        <v>17520</v>
      </c>
      <c r="J191" s="72" t="s">
        <v>366</v>
      </c>
      <c r="K191" s="71">
        <v>42459</v>
      </c>
      <c r="L191" s="72" t="s">
        <v>130</v>
      </c>
      <c r="M191" s="78"/>
    </row>
    <row r="192" spans="1:13" s="79" customFormat="1" ht="17.25" customHeight="1">
      <c r="A192" s="71">
        <v>42361</v>
      </c>
      <c r="B192" s="72" t="s">
        <v>438</v>
      </c>
      <c r="C192" s="72" t="s">
        <v>447</v>
      </c>
      <c r="D192" s="72" t="s">
        <v>450</v>
      </c>
      <c r="E192" s="72" t="s">
        <v>449</v>
      </c>
      <c r="F192" s="72" t="s">
        <v>274</v>
      </c>
      <c r="G192" s="90">
        <v>2400</v>
      </c>
      <c r="H192" s="74">
        <v>3.65</v>
      </c>
      <c r="I192" s="83">
        <f t="shared" si="8"/>
        <v>8760</v>
      </c>
      <c r="J192" s="72" t="s">
        <v>228</v>
      </c>
      <c r="K192" s="71">
        <v>42480</v>
      </c>
      <c r="L192" s="72" t="s">
        <v>130</v>
      </c>
      <c r="M192" s="78"/>
    </row>
    <row r="193" spans="1:13" s="79" customFormat="1" ht="17.25" customHeight="1">
      <c r="A193" s="71">
        <v>42361</v>
      </c>
      <c r="B193" s="72" t="s">
        <v>438</v>
      </c>
      <c r="C193" s="72" t="s">
        <v>447</v>
      </c>
      <c r="D193" s="72" t="s">
        <v>451</v>
      </c>
      <c r="E193" s="72" t="s">
        <v>449</v>
      </c>
      <c r="F193" s="72" t="s">
        <v>446</v>
      </c>
      <c r="G193" s="91">
        <v>5256</v>
      </c>
      <c r="H193" s="74">
        <v>3.9</v>
      </c>
      <c r="I193" s="83">
        <f t="shared" si="8"/>
        <v>20498.399999999998</v>
      </c>
      <c r="J193" s="72" t="s">
        <v>228</v>
      </c>
      <c r="K193" s="71">
        <v>42473</v>
      </c>
      <c r="L193" s="72" t="s">
        <v>130</v>
      </c>
      <c r="M193" s="78"/>
    </row>
    <row r="194" spans="1:13" s="79" customFormat="1" ht="17.25" customHeight="1">
      <c r="A194" s="71">
        <v>42361</v>
      </c>
      <c r="B194" s="72" t="s">
        <v>438</v>
      </c>
      <c r="C194" s="72" t="s">
        <v>447</v>
      </c>
      <c r="D194" s="72" t="s">
        <v>452</v>
      </c>
      <c r="E194" s="72" t="s">
        <v>449</v>
      </c>
      <c r="F194" s="72" t="s">
        <v>453</v>
      </c>
      <c r="G194" s="90">
        <v>234</v>
      </c>
      <c r="H194" s="74">
        <v>3.65</v>
      </c>
      <c r="I194" s="83">
        <f t="shared" si="8"/>
        <v>854.1</v>
      </c>
      <c r="J194" s="72" t="s">
        <v>228</v>
      </c>
      <c r="K194" s="71">
        <v>42473</v>
      </c>
      <c r="L194" s="72" t="s">
        <v>130</v>
      </c>
      <c r="M194" s="78"/>
    </row>
    <row r="195" spans="1:13" s="79" customFormat="1" ht="17.25" customHeight="1">
      <c r="A195" s="71">
        <v>42388</v>
      </c>
      <c r="B195" s="72" t="s">
        <v>433</v>
      </c>
      <c r="C195" s="72" t="s">
        <v>26</v>
      </c>
      <c r="D195" s="100" t="s">
        <v>454</v>
      </c>
      <c r="E195" s="72" t="s">
        <v>455</v>
      </c>
      <c r="F195" s="72" t="s">
        <v>274</v>
      </c>
      <c r="G195" s="90">
        <v>2394</v>
      </c>
      <c r="H195" s="74">
        <v>4.0999999999999996</v>
      </c>
      <c r="I195" s="83">
        <f t="shared" si="8"/>
        <v>9815.4</v>
      </c>
      <c r="J195" s="72" t="s">
        <v>136</v>
      </c>
      <c r="K195" s="71">
        <v>42501</v>
      </c>
      <c r="L195" s="72" t="s">
        <v>130</v>
      </c>
      <c r="M195" s="78"/>
    </row>
    <row r="196" spans="1:13" s="79" customFormat="1" ht="17.25" customHeight="1">
      <c r="A196" s="71">
        <v>42388</v>
      </c>
      <c r="B196" s="72" t="s">
        <v>433</v>
      </c>
      <c r="C196" s="72" t="s">
        <v>26</v>
      </c>
      <c r="D196" s="100" t="s">
        <v>456</v>
      </c>
      <c r="E196" s="72" t="s">
        <v>455</v>
      </c>
      <c r="F196" s="72" t="s">
        <v>457</v>
      </c>
      <c r="G196" s="90">
        <v>48</v>
      </c>
      <c r="H196" s="74">
        <v>4.0999999999999996</v>
      </c>
      <c r="I196" s="83">
        <f t="shared" si="8"/>
        <v>196.79999999999998</v>
      </c>
      <c r="J196" s="72" t="s">
        <v>136</v>
      </c>
      <c r="K196" s="71">
        <v>42501</v>
      </c>
      <c r="L196" s="72" t="s">
        <v>130</v>
      </c>
      <c r="M196" s="78"/>
    </row>
    <row r="197" spans="1:13" s="79" customFormat="1" ht="17.25" customHeight="1">
      <c r="A197" s="71">
        <v>42388</v>
      </c>
      <c r="B197" s="72" t="s">
        <v>433</v>
      </c>
      <c r="C197" s="72" t="s">
        <v>26</v>
      </c>
      <c r="D197" s="100" t="s">
        <v>458</v>
      </c>
      <c r="E197" s="72" t="s">
        <v>455</v>
      </c>
      <c r="F197" s="72" t="s">
        <v>459</v>
      </c>
      <c r="G197" s="90">
        <v>1002</v>
      </c>
      <c r="H197" s="74">
        <v>4.3499999999999996</v>
      </c>
      <c r="I197" s="83">
        <f t="shared" si="8"/>
        <v>4358.7</v>
      </c>
      <c r="J197" s="72" t="s">
        <v>136</v>
      </c>
      <c r="K197" s="71">
        <v>42501</v>
      </c>
      <c r="L197" s="72" t="s">
        <v>130</v>
      </c>
      <c r="M197" s="78"/>
    </row>
    <row r="198" spans="1:13" s="79" customFormat="1" ht="17.25" customHeight="1">
      <c r="A198" s="71">
        <v>42388</v>
      </c>
      <c r="B198" s="72" t="s">
        <v>433</v>
      </c>
      <c r="C198" s="72" t="s">
        <v>26</v>
      </c>
      <c r="D198" s="100" t="s">
        <v>460</v>
      </c>
      <c r="E198" s="72" t="s">
        <v>455</v>
      </c>
      <c r="F198" s="72" t="s">
        <v>446</v>
      </c>
      <c r="G198" s="90">
        <v>1356</v>
      </c>
      <c r="H198" s="74">
        <v>4.3499999999999996</v>
      </c>
      <c r="I198" s="83">
        <f t="shared" si="8"/>
        <v>5898.5999999999995</v>
      </c>
      <c r="J198" s="72" t="s">
        <v>136</v>
      </c>
      <c r="K198" s="71">
        <v>42501</v>
      </c>
      <c r="L198" s="72" t="s">
        <v>130</v>
      </c>
      <c r="M198" s="78"/>
    </row>
    <row r="199" spans="1:13" s="79" customFormat="1" ht="17.25" customHeight="1">
      <c r="A199" s="71">
        <v>42417</v>
      </c>
      <c r="B199" s="72" t="s">
        <v>433</v>
      </c>
      <c r="C199" s="72" t="s">
        <v>26</v>
      </c>
      <c r="D199" s="100" t="s">
        <v>461</v>
      </c>
      <c r="E199" s="72" t="s">
        <v>455</v>
      </c>
      <c r="F199" s="72" t="s">
        <v>227</v>
      </c>
      <c r="G199" s="91">
        <v>9432</v>
      </c>
      <c r="H199" s="74">
        <v>4.45</v>
      </c>
      <c r="I199" s="83">
        <f t="shared" si="8"/>
        <v>41972.4</v>
      </c>
      <c r="J199" s="72" t="s">
        <v>124</v>
      </c>
      <c r="K199" s="71">
        <v>42515</v>
      </c>
      <c r="L199" s="72" t="s">
        <v>130</v>
      </c>
      <c r="M199" s="78"/>
    </row>
    <row r="200" spans="1:13" s="79" customFormat="1" ht="17.25" customHeight="1">
      <c r="A200" s="71">
        <v>42417</v>
      </c>
      <c r="B200" s="72" t="s">
        <v>433</v>
      </c>
      <c r="C200" s="72" t="s">
        <v>26</v>
      </c>
      <c r="D200" s="100" t="s">
        <v>462</v>
      </c>
      <c r="E200" s="72" t="s">
        <v>455</v>
      </c>
      <c r="F200" s="72" t="s">
        <v>463</v>
      </c>
      <c r="G200" s="90">
        <v>1941</v>
      </c>
      <c r="H200" s="74">
        <v>4.2</v>
      </c>
      <c r="I200" s="83">
        <f t="shared" si="8"/>
        <v>8152.2000000000007</v>
      </c>
      <c r="J200" s="72" t="s">
        <v>124</v>
      </c>
      <c r="K200" s="71">
        <v>42515</v>
      </c>
      <c r="L200" s="72" t="s">
        <v>130</v>
      </c>
      <c r="M200" s="78"/>
    </row>
    <row r="201" spans="1:13" s="79" customFormat="1" ht="17.25" customHeight="1">
      <c r="A201" s="71">
        <v>42417</v>
      </c>
      <c r="B201" s="72" t="s">
        <v>433</v>
      </c>
      <c r="C201" s="72" t="s">
        <v>26</v>
      </c>
      <c r="D201" s="100" t="s">
        <v>464</v>
      </c>
      <c r="E201" s="72" t="s">
        <v>455</v>
      </c>
      <c r="F201" s="72" t="s">
        <v>227</v>
      </c>
      <c r="G201" s="90">
        <v>71</v>
      </c>
      <c r="H201" s="74">
        <v>4.45</v>
      </c>
      <c r="I201" s="83">
        <f t="shared" si="8"/>
        <v>315.95</v>
      </c>
      <c r="J201" s="72" t="s">
        <v>155</v>
      </c>
      <c r="K201" s="71">
        <v>42487</v>
      </c>
      <c r="L201" s="72" t="s">
        <v>130</v>
      </c>
      <c r="M201" s="78"/>
    </row>
    <row r="202" spans="1:13" s="79" customFormat="1" ht="17.25" customHeight="1">
      <c r="A202" s="71">
        <v>42367</v>
      </c>
      <c r="B202" s="72" t="s">
        <v>465</v>
      </c>
      <c r="C202" s="72" t="s">
        <v>466</v>
      </c>
      <c r="D202" s="72">
        <v>650175</v>
      </c>
      <c r="E202" s="72" t="s">
        <v>467</v>
      </c>
      <c r="F202" s="98"/>
      <c r="G202" s="73">
        <v>320</v>
      </c>
      <c r="H202" s="74">
        <v>9.9499999999999993</v>
      </c>
      <c r="I202" s="75">
        <f>G202*H202</f>
        <v>3184</v>
      </c>
      <c r="J202" s="72" t="s">
        <v>155</v>
      </c>
      <c r="K202" s="71">
        <v>42480</v>
      </c>
      <c r="L202" s="72" t="s">
        <v>119</v>
      </c>
      <c r="M202" s="78"/>
    </row>
    <row r="203" spans="1:13" s="79" customFormat="1" ht="17.25" customHeight="1">
      <c r="A203" s="71">
        <v>42367</v>
      </c>
      <c r="B203" s="72" t="s">
        <v>465</v>
      </c>
      <c r="C203" s="72" t="s">
        <v>466</v>
      </c>
      <c r="D203" s="72" t="s">
        <v>468</v>
      </c>
      <c r="E203" s="72" t="s">
        <v>467</v>
      </c>
      <c r="F203" s="98"/>
      <c r="G203" s="73">
        <v>480</v>
      </c>
      <c r="H203" s="74">
        <v>10.1</v>
      </c>
      <c r="I203" s="75">
        <f>G203*H203</f>
        <v>4848</v>
      </c>
      <c r="J203" s="72" t="s">
        <v>155</v>
      </c>
      <c r="K203" s="71">
        <v>42480</v>
      </c>
      <c r="L203" s="72" t="s">
        <v>119</v>
      </c>
      <c r="M203" s="78"/>
    </row>
    <row r="204" spans="1:13" s="79" customFormat="1" ht="17.25" customHeight="1">
      <c r="A204" s="89">
        <v>42341</v>
      </c>
      <c r="B204" s="72" t="s">
        <v>469</v>
      </c>
      <c r="C204" s="72" t="s">
        <v>350</v>
      </c>
      <c r="D204" s="72" t="s">
        <v>470</v>
      </c>
      <c r="E204" s="72" t="s">
        <v>471</v>
      </c>
      <c r="F204" s="72" t="s">
        <v>149</v>
      </c>
      <c r="G204" s="91">
        <v>1096</v>
      </c>
      <c r="H204" s="74">
        <v>7.6</v>
      </c>
      <c r="I204" s="83">
        <f t="shared" ref="I204:I254" si="9">G204*H204</f>
        <v>8329.6</v>
      </c>
      <c r="J204" s="72" t="s">
        <v>366</v>
      </c>
      <c r="K204" s="71">
        <v>42457</v>
      </c>
      <c r="L204" s="72" t="s">
        <v>353</v>
      </c>
      <c r="M204" s="78"/>
    </row>
    <row r="205" spans="1:13" s="79" customFormat="1" ht="17.25" customHeight="1">
      <c r="A205" s="89">
        <v>42363</v>
      </c>
      <c r="B205" s="72" t="s">
        <v>469</v>
      </c>
      <c r="C205" s="72" t="s">
        <v>350</v>
      </c>
      <c r="D205" s="72" t="s">
        <v>472</v>
      </c>
      <c r="E205" s="72" t="s">
        <v>471</v>
      </c>
      <c r="F205" s="72" t="s">
        <v>149</v>
      </c>
      <c r="G205" s="90">
        <v>75</v>
      </c>
      <c r="H205" s="74">
        <v>7.45</v>
      </c>
      <c r="I205" s="83">
        <f t="shared" si="9"/>
        <v>558.75</v>
      </c>
      <c r="J205" s="72" t="s">
        <v>366</v>
      </c>
      <c r="K205" s="71">
        <v>42457</v>
      </c>
      <c r="L205" s="72" t="s">
        <v>353</v>
      </c>
      <c r="M205" s="78"/>
    </row>
    <row r="206" spans="1:13" s="79" customFormat="1" ht="17.25" customHeight="1">
      <c r="A206" s="89">
        <v>42363</v>
      </c>
      <c r="B206" s="72" t="s">
        <v>469</v>
      </c>
      <c r="C206" s="72" t="s">
        <v>350</v>
      </c>
      <c r="D206" s="72" t="s">
        <v>473</v>
      </c>
      <c r="E206" s="72" t="s">
        <v>471</v>
      </c>
      <c r="F206" s="72" t="s">
        <v>149</v>
      </c>
      <c r="G206" s="90">
        <v>75</v>
      </c>
      <c r="H206" s="74">
        <v>7.45</v>
      </c>
      <c r="I206" s="83">
        <f t="shared" si="9"/>
        <v>558.75</v>
      </c>
      <c r="J206" s="72" t="s">
        <v>366</v>
      </c>
      <c r="K206" s="71">
        <v>42457</v>
      </c>
      <c r="L206" s="72" t="s">
        <v>353</v>
      </c>
      <c r="M206" s="78"/>
    </row>
    <row r="207" spans="1:13" s="79" customFormat="1" ht="17.25" customHeight="1">
      <c r="A207" s="89">
        <v>42341</v>
      </c>
      <c r="B207" s="72" t="s">
        <v>469</v>
      </c>
      <c r="C207" s="72" t="s">
        <v>350</v>
      </c>
      <c r="D207" s="72" t="s">
        <v>474</v>
      </c>
      <c r="E207" s="72" t="s">
        <v>471</v>
      </c>
      <c r="F207" s="72" t="s">
        <v>149</v>
      </c>
      <c r="G207" s="91">
        <v>2332</v>
      </c>
      <c r="H207" s="112">
        <v>7.6</v>
      </c>
      <c r="I207" s="83">
        <f t="shared" si="9"/>
        <v>17723.2</v>
      </c>
      <c r="J207" s="72" t="s">
        <v>366</v>
      </c>
      <c r="K207" s="71">
        <v>42457</v>
      </c>
      <c r="L207" s="72" t="s">
        <v>353</v>
      </c>
      <c r="M207" s="78"/>
    </row>
    <row r="208" spans="1:13" s="79" customFormat="1" ht="17.25" customHeight="1">
      <c r="A208" s="89">
        <v>42349</v>
      </c>
      <c r="B208" s="72" t="s">
        <v>469</v>
      </c>
      <c r="C208" s="72" t="s">
        <v>350</v>
      </c>
      <c r="D208" s="72" t="s">
        <v>475</v>
      </c>
      <c r="E208" s="72" t="s">
        <v>476</v>
      </c>
      <c r="F208" s="72" t="s">
        <v>272</v>
      </c>
      <c r="G208" s="90">
        <v>5583</v>
      </c>
      <c r="H208" s="74">
        <v>6.5</v>
      </c>
      <c r="I208" s="83">
        <f t="shared" si="9"/>
        <v>36289.5</v>
      </c>
      <c r="J208" s="72" t="s">
        <v>155</v>
      </c>
      <c r="K208" s="71">
        <v>42480</v>
      </c>
      <c r="L208" s="72" t="s">
        <v>353</v>
      </c>
      <c r="M208" s="78"/>
    </row>
    <row r="209" spans="1:13" s="79" customFormat="1" ht="17.25" customHeight="1">
      <c r="A209" s="89">
        <v>42349</v>
      </c>
      <c r="B209" s="72" t="s">
        <v>469</v>
      </c>
      <c r="C209" s="72" t="s">
        <v>350</v>
      </c>
      <c r="D209" s="72" t="s">
        <v>477</v>
      </c>
      <c r="E209" s="72" t="s">
        <v>478</v>
      </c>
      <c r="F209" s="72" t="s">
        <v>272</v>
      </c>
      <c r="G209" s="90">
        <v>6460</v>
      </c>
      <c r="H209" s="74">
        <v>5.5</v>
      </c>
      <c r="I209" s="83">
        <f t="shared" si="9"/>
        <v>35530</v>
      </c>
      <c r="J209" s="72" t="s">
        <v>155</v>
      </c>
      <c r="K209" s="71">
        <v>42480</v>
      </c>
      <c r="L209" s="72" t="s">
        <v>353</v>
      </c>
      <c r="M209" s="78"/>
    </row>
    <row r="210" spans="1:13" s="79" customFormat="1" ht="17.25" customHeight="1">
      <c r="A210" s="89">
        <v>42349</v>
      </c>
      <c r="B210" s="72" t="s">
        <v>469</v>
      </c>
      <c r="C210" s="72" t="s">
        <v>350</v>
      </c>
      <c r="D210" s="72" t="s">
        <v>479</v>
      </c>
      <c r="E210" s="72" t="s">
        <v>478</v>
      </c>
      <c r="F210" s="72" t="s">
        <v>272</v>
      </c>
      <c r="G210" s="90">
        <v>188</v>
      </c>
      <c r="H210" s="74">
        <v>5.5</v>
      </c>
      <c r="I210" s="83">
        <f t="shared" si="9"/>
        <v>1034</v>
      </c>
      <c r="J210" s="72" t="s">
        <v>155</v>
      </c>
      <c r="K210" s="71">
        <v>42480</v>
      </c>
      <c r="L210" s="72" t="s">
        <v>353</v>
      </c>
      <c r="M210" s="78"/>
    </row>
    <row r="211" spans="1:13" s="79" customFormat="1" ht="17.25" customHeight="1">
      <c r="A211" s="89">
        <v>42349</v>
      </c>
      <c r="B211" s="72" t="s">
        <v>469</v>
      </c>
      <c r="C211" s="72" t="s">
        <v>350</v>
      </c>
      <c r="D211" s="72" t="s">
        <v>480</v>
      </c>
      <c r="E211" s="72" t="s">
        <v>481</v>
      </c>
      <c r="F211" s="72" t="s">
        <v>272</v>
      </c>
      <c r="G211" s="90">
        <v>5742</v>
      </c>
      <c r="H211" s="74">
        <v>5.6</v>
      </c>
      <c r="I211" s="83">
        <f t="shared" si="9"/>
        <v>32155.199999999997</v>
      </c>
      <c r="J211" s="72" t="s">
        <v>155</v>
      </c>
      <c r="K211" s="71">
        <v>42480</v>
      </c>
      <c r="L211" s="72" t="s">
        <v>353</v>
      </c>
      <c r="M211" s="78"/>
    </row>
    <row r="212" spans="1:13" s="79" customFormat="1" ht="17.25" customHeight="1">
      <c r="A212" s="89">
        <v>42349</v>
      </c>
      <c r="B212" s="72" t="s">
        <v>469</v>
      </c>
      <c r="C212" s="72" t="s">
        <v>350</v>
      </c>
      <c r="D212" s="72" t="s">
        <v>482</v>
      </c>
      <c r="E212" s="72" t="s">
        <v>481</v>
      </c>
      <c r="F212" s="72" t="s">
        <v>272</v>
      </c>
      <c r="G212" s="90">
        <v>120</v>
      </c>
      <c r="H212" s="74">
        <v>5.45</v>
      </c>
      <c r="I212" s="83">
        <f t="shared" si="9"/>
        <v>654</v>
      </c>
      <c r="J212" s="72" t="s">
        <v>155</v>
      </c>
      <c r="K212" s="71">
        <v>42480</v>
      </c>
      <c r="L212" s="72" t="s">
        <v>353</v>
      </c>
      <c r="M212" s="78"/>
    </row>
    <row r="213" spans="1:13" s="79" customFormat="1" ht="17.25" customHeight="1">
      <c r="A213" s="89">
        <v>42415</v>
      </c>
      <c r="B213" s="72" t="s">
        <v>469</v>
      </c>
      <c r="C213" s="72" t="s">
        <v>350</v>
      </c>
      <c r="D213" s="72" t="s">
        <v>483</v>
      </c>
      <c r="E213" s="72" t="s">
        <v>478</v>
      </c>
      <c r="F213" s="72" t="s">
        <v>272</v>
      </c>
      <c r="G213" s="90">
        <v>2178</v>
      </c>
      <c r="H213" s="74">
        <v>5.5</v>
      </c>
      <c r="I213" s="83">
        <f t="shared" si="9"/>
        <v>11979</v>
      </c>
      <c r="J213" s="72" t="s">
        <v>155</v>
      </c>
      <c r="K213" s="71">
        <v>42480</v>
      </c>
      <c r="L213" s="105" t="s">
        <v>130</v>
      </c>
      <c r="M213" s="78"/>
    </row>
    <row r="214" spans="1:13" s="79" customFormat="1" ht="17.25" customHeight="1">
      <c r="A214" s="89">
        <v>42430</v>
      </c>
      <c r="B214" s="72" t="s">
        <v>469</v>
      </c>
      <c r="C214" s="72" t="s">
        <v>386</v>
      </c>
      <c r="D214" s="72" t="s">
        <v>484</v>
      </c>
      <c r="E214" s="72" t="s">
        <v>485</v>
      </c>
      <c r="F214" s="72" t="s">
        <v>227</v>
      </c>
      <c r="G214" s="90">
        <v>14910</v>
      </c>
      <c r="H214" s="74">
        <v>4.3499999999999996</v>
      </c>
      <c r="I214" s="83">
        <f t="shared" si="9"/>
        <v>64858.499999999993</v>
      </c>
      <c r="J214" s="72" t="s">
        <v>118</v>
      </c>
      <c r="K214" s="71">
        <v>42515</v>
      </c>
      <c r="L214" s="105" t="s">
        <v>130</v>
      </c>
      <c r="M214" s="78"/>
    </row>
    <row r="215" spans="1:13" s="79" customFormat="1" ht="17.25" customHeight="1">
      <c r="A215" s="89">
        <v>42430</v>
      </c>
      <c r="B215" s="72" t="s">
        <v>469</v>
      </c>
      <c r="C215" s="72" t="s">
        <v>386</v>
      </c>
      <c r="D215" s="72" t="s">
        <v>486</v>
      </c>
      <c r="E215" s="72" t="s">
        <v>485</v>
      </c>
      <c r="F215" s="72" t="s">
        <v>487</v>
      </c>
      <c r="G215" s="90">
        <v>368</v>
      </c>
      <c r="H215" s="74">
        <v>4.2</v>
      </c>
      <c r="I215" s="83">
        <f t="shared" si="9"/>
        <v>1545.6000000000001</v>
      </c>
      <c r="J215" s="72" t="s">
        <v>118</v>
      </c>
      <c r="K215" s="71">
        <v>42515</v>
      </c>
      <c r="L215" s="105" t="s">
        <v>130</v>
      </c>
      <c r="M215" s="78"/>
    </row>
    <row r="216" spans="1:13" s="79" customFormat="1" ht="17.25" customHeight="1">
      <c r="A216" s="89">
        <v>42430</v>
      </c>
      <c r="B216" s="72" t="s">
        <v>469</v>
      </c>
      <c r="C216" s="72" t="s">
        <v>386</v>
      </c>
      <c r="D216" s="72" t="s">
        <v>488</v>
      </c>
      <c r="E216" s="72" t="s">
        <v>485</v>
      </c>
      <c r="F216" s="72" t="s">
        <v>489</v>
      </c>
      <c r="G216" s="90">
        <v>734</v>
      </c>
      <c r="H216" s="74">
        <v>4.2</v>
      </c>
      <c r="I216" s="83">
        <f t="shared" si="9"/>
        <v>3082.8</v>
      </c>
      <c r="J216" s="72" t="s">
        <v>118</v>
      </c>
      <c r="K216" s="71">
        <v>42515</v>
      </c>
      <c r="L216" s="105" t="s">
        <v>130</v>
      </c>
      <c r="M216" s="78"/>
    </row>
    <row r="217" spans="1:13" s="79" customFormat="1" ht="17.25" customHeight="1">
      <c r="A217" s="71">
        <v>42314</v>
      </c>
      <c r="B217" s="72" t="s">
        <v>469</v>
      </c>
      <c r="C217" s="72" t="s">
        <v>30</v>
      </c>
      <c r="D217" s="72" t="s">
        <v>490</v>
      </c>
      <c r="E217" s="72" t="s">
        <v>491</v>
      </c>
      <c r="F217" s="72" t="s">
        <v>492</v>
      </c>
      <c r="G217" s="91">
        <v>1408</v>
      </c>
      <c r="H217" s="74">
        <v>4.95</v>
      </c>
      <c r="I217" s="75">
        <f t="shared" si="9"/>
        <v>6969.6</v>
      </c>
      <c r="J217" s="72" t="s">
        <v>357</v>
      </c>
      <c r="K217" s="71">
        <v>42445</v>
      </c>
      <c r="L217" s="105" t="s">
        <v>119</v>
      </c>
      <c r="M217" s="78"/>
    </row>
    <row r="218" spans="1:13" s="79" customFormat="1" ht="17.25" customHeight="1">
      <c r="A218" s="71">
        <v>42328</v>
      </c>
      <c r="B218" s="72" t="s">
        <v>469</v>
      </c>
      <c r="C218" s="72" t="s">
        <v>30</v>
      </c>
      <c r="D218" s="72" t="s">
        <v>493</v>
      </c>
      <c r="E218" s="72" t="s">
        <v>491</v>
      </c>
      <c r="F218" s="72" t="s">
        <v>492</v>
      </c>
      <c r="G218" s="90">
        <v>1117</v>
      </c>
      <c r="H218" s="74">
        <v>4.95</v>
      </c>
      <c r="I218" s="75">
        <f t="shared" si="9"/>
        <v>5529.1500000000005</v>
      </c>
      <c r="J218" s="72" t="s">
        <v>357</v>
      </c>
      <c r="K218" s="71">
        <v>42445</v>
      </c>
      <c r="L218" s="105" t="s">
        <v>119</v>
      </c>
      <c r="M218" s="78"/>
    </row>
    <row r="219" spans="1:13" s="79" customFormat="1" ht="17.25" customHeight="1">
      <c r="A219" s="71">
        <v>42328</v>
      </c>
      <c r="B219" s="72" t="s">
        <v>469</v>
      </c>
      <c r="C219" s="72" t="s">
        <v>30</v>
      </c>
      <c r="D219" s="72" t="s">
        <v>494</v>
      </c>
      <c r="E219" s="72" t="s">
        <v>491</v>
      </c>
      <c r="F219" s="72" t="s">
        <v>492</v>
      </c>
      <c r="G219" s="90">
        <v>1277</v>
      </c>
      <c r="H219" s="74">
        <v>4.95</v>
      </c>
      <c r="I219" s="75">
        <f t="shared" si="9"/>
        <v>6321.1500000000005</v>
      </c>
      <c r="J219" s="72" t="s">
        <v>357</v>
      </c>
      <c r="K219" s="71">
        <v>42445</v>
      </c>
      <c r="L219" s="105" t="s">
        <v>119</v>
      </c>
      <c r="M219" s="78"/>
    </row>
    <row r="220" spans="1:13" s="79" customFormat="1" ht="17.25" customHeight="1">
      <c r="A220" s="71">
        <v>42328</v>
      </c>
      <c r="B220" s="72" t="s">
        <v>469</v>
      </c>
      <c r="C220" s="72" t="s">
        <v>30</v>
      </c>
      <c r="D220" s="72" t="s">
        <v>495</v>
      </c>
      <c r="E220" s="72" t="s">
        <v>491</v>
      </c>
      <c r="F220" s="72" t="s">
        <v>492</v>
      </c>
      <c r="G220" s="90">
        <v>1832</v>
      </c>
      <c r="H220" s="74">
        <v>4.95</v>
      </c>
      <c r="I220" s="75">
        <f t="shared" si="9"/>
        <v>9068.4</v>
      </c>
      <c r="J220" s="72" t="s">
        <v>357</v>
      </c>
      <c r="K220" s="71">
        <v>42445</v>
      </c>
      <c r="L220" s="105" t="s">
        <v>119</v>
      </c>
      <c r="M220" s="78"/>
    </row>
    <row r="221" spans="1:13" s="79" customFormat="1" ht="17.25" customHeight="1">
      <c r="A221" s="71">
        <v>42328</v>
      </c>
      <c r="B221" s="72" t="s">
        <v>469</v>
      </c>
      <c r="C221" s="72" t="s">
        <v>30</v>
      </c>
      <c r="D221" s="72" t="s">
        <v>496</v>
      </c>
      <c r="E221" s="72" t="s">
        <v>491</v>
      </c>
      <c r="F221" s="72" t="s">
        <v>492</v>
      </c>
      <c r="G221" s="90">
        <v>556</v>
      </c>
      <c r="H221" s="74">
        <v>4.95</v>
      </c>
      <c r="I221" s="75">
        <f t="shared" si="9"/>
        <v>2752.2000000000003</v>
      </c>
      <c r="J221" s="72" t="s">
        <v>357</v>
      </c>
      <c r="K221" s="71">
        <v>42445</v>
      </c>
      <c r="L221" s="105" t="s">
        <v>119</v>
      </c>
      <c r="M221" s="78"/>
    </row>
    <row r="222" spans="1:13" s="79" customFormat="1" ht="17.25" customHeight="1">
      <c r="A222" s="71">
        <v>42328</v>
      </c>
      <c r="B222" s="72" t="s">
        <v>469</v>
      </c>
      <c r="C222" s="72" t="s">
        <v>30</v>
      </c>
      <c r="D222" s="72" t="s">
        <v>497</v>
      </c>
      <c r="E222" s="72" t="s">
        <v>491</v>
      </c>
      <c r="F222" s="72" t="s">
        <v>492</v>
      </c>
      <c r="G222" s="90">
        <v>97</v>
      </c>
      <c r="H222" s="74">
        <v>4.95</v>
      </c>
      <c r="I222" s="75">
        <f t="shared" si="9"/>
        <v>480.15000000000003</v>
      </c>
      <c r="J222" s="72" t="s">
        <v>357</v>
      </c>
      <c r="K222" s="71">
        <v>42445</v>
      </c>
      <c r="L222" s="105" t="s">
        <v>119</v>
      </c>
      <c r="M222" s="78"/>
    </row>
    <row r="223" spans="1:13" s="79" customFormat="1" ht="17.25" customHeight="1">
      <c r="A223" s="71">
        <v>42375</v>
      </c>
      <c r="B223" s="72" t="s">
        <v>469</v>
      </c>
      <c r="C223" s="72" t="s">
        <v>121</v>
      </c>
      <c r="D223" s="72" t="s">
        <v>498</v>
      </c>
      <c r="E223" s="72" t="s">
        <v>499</v>
      </c>
      <c r="F223" s="72"/>
      <c r="G223" s="73">
        <v>1112</v>
      </c>
      <c r="H223" s="74">
        <v>7</v>
      </c>
      <c r="I223" s="75">
        <f t="shared" si="9"/>
        <v>7784</v>
      </c>
      <c r="J223" s="72" t="s">
        <v>165</v>
      </c>
      <c r="K223" s="71">
        <v>42529</v>
      </c>
      <c r="L223" s="72" t="s">
        <v>119</v>
      </c>
      <c r="M223" s="78"/>
    </row>
    <row r="224" spans="1:13" s="79" customFormat="1" ht="17.25" customHeight="1">
      <c r="A224" s="71">
        <v>42375</v>
      </c>
      <c r="B224" s="72" t="s">
        <v>469</v>
      </c>
      <c r="C224" s="72" t="s">
        <v>121</v>
      </c>
      <c r="D224" s="72" t="s">
        <v>500</v>
      </c>
      <c r="E224" s="72" t="s">
        <v>499</v>
      </c>
      <c r="F224" s="72"/>
      <c r="G224" s="73">
        <v>1672</v>
      </c>
      <c r="H224" s="74">
        <v>7</v>
      </c>
      <c r="I224" s="75">
        <f t="shared" si="9"/>
        <v>11704</v>
      </c>
      <c r="J224" s="72" t="s">
        <v>165</v>
      </c>
      <c r="K224" s="71">
        <v>42529</v>
      </c>
      <c r="L224" s="72" t="s">
        <v>119</v>
      </c>
      <c r="M224" s="78"/>
    </row>
    <row r="225" spans="1:13" s="79" customFormat="1" ht="17.25" customHeight="1">
      <c r="A225" s="71">
        <v>42375</v>
      </c>
      <c r="B225" s="72" t="s">
        <v>469</v>
      </c>
      <c r="C225" s="72" t="s">
        <v>121</v>
      </c>
      <c r="D225" s="72" t="s">
        <v>501</v>
      </c>
      <c r="E225" s="72" t="s">
        <v>499</v>
      </c>
      <c r="F225" s="72"/>
      <c r="G225" s="73">
        <v>728</v>
      </c>
      <c r="H225" s="74">
        <v>7</v>
      </c>
      <c r="I225" s="75">
        <f t="shared" si="9"/>
        <v>5096</v>
      </c>
      <c r="J225" s="72" t="s">
        <v>165</v>
      </c>
      <c r="K225" s="71">
        <v>42529</v>
      </c>
      <c r="L225" s="72" t="s">
        <v>119</v>
      </c>
      <c r="M225" s="78"/>
    </row>
    <row r="226" spans="1:13" s="79" customFormat="1" ht="17.25" customHeight="1">
      <c r="A226" s="71">
        <v>42375</v>
      </c>
      <c r="B226" s="72" t="s">
        <v>469</v>
      </c>
      <c r="C226" s="72" t="s">
        <v>121</v>
      </c>
      <c r="D226" s="72" t="s">
        <v>502</v>
      </c>
      <c r="E226" s="72" t="s">
        <v>499</v>
      </c>
      <c r="F226" s="72"/>
      <c r="G226" s="73">
        <v>48</v>
      </c>
      <c r="H226" s="74">
        <v>6.8</v>
      </c>
      <c r="I226" s="75">
        <f t="shared" si="9"/>
        <v>326.39999999999998</v>
      </c>
      <c r="J226" s="72" t="s">
        <v>165</v>
      </c>
      <c r="K226" s="71">
        <v>42529</v>
      </c>
      <c r="L226" s="72" t="s">
        <v>119</v>
      </c>
      <c r="M226" s="78"/>
    </row>
    <row r="227" spans="1:13" s="79" customFormat="1" ht="17.25" customHeight="1">
      <c r="A227" s="71">
        <v>42375</v>
      </c>
      <c r="B227" s="72" t="s">
        <v>469</v>
      </c>
      <c r="C227" s="72" t="s">
        <v>121</v>
      </c>
      <c r="D227" s="72" t="s">
        <v>503</v>
      </c>
      <c r="E227" s="72" t="s">
        <v>504</v>
      </c>
      <c r="F227" s="72"/>
      <c r="G227" s="73">
        <v>1392</v>
      </c>
      <c r="H227" s="74">
        <v>7.7</v>
      </c>
      <c r="I227" s="75">
        <f t="shared" si="9"/>
        <v>10718.4</v>
      </c>
      <c r="J227" s="72" t="s">
        <v>165</v>
      </c>
      <c r="K227" s="71">
        <v>42529</v>
      </c>
      <c r="L227" s="72" t="s">
        <v>119</v>
      </c>
      <c r="M227" s="78"/>
    </row>
    <row r="228" spans="1:13" s="79" customFormat="1" ht="17.25" customHeight="1">
      <c r="A228" s="71">
        <v>42375</v>
      </c>
      <c r="B228" s="72" t="s">
        <v>469</v>
      </c>
      <c r="C228" s="72" t="s">
        <v>121</v>
      </c>
      <c r="D228" s="72" t="s">
        <v>505</v>
      </c>
      <c r="E228" s="72" t="s">
        <v>504</v>
      </c>
      <c r="F228" s="72"/>
      <c r="G228" s="73">
        <v>112</v>
      </c>
      <c r="H228" s="74">
        <v>7.7</v>
      </c>
      <c r="I228" s="75">
        <f t="shared" si="9"/>
        <v>862.4</v>
      </c>
      <c r="J228" s="72" t="s">
        <v>165</v>
      </c>
      <c r="K228" s="71">
        <v>42529</v>
      </c>
      <c r="L228" s="72" t="s">
        <v>119</v>
      </c>
      <c r="M228" s="78"/>
    </row>
    <row r="229" spans="1:13" s="79" customFormat="1" ht="17.25" customHeight="1">
      <c r="A229" s="71">
        <v>42375</v>
      </c>
      <c r="B229" s="72" t="s">
        <v>469</v>
      </c>
      <c r="C229" s="72" t="s">
        <v>121</v>
      </c>
      <c r="D229" s="72" t="s">
        <v>506</v>
      </c>
      <c r="E229" s="72" t="s">
        <v>504</v>
      </c>
      <c r="F229" s="72"/>
      <c r="G229" s="73">
        <v>16</v>
      </c>
      <c r="H229" s="74">
        <v>7.7</v>
      </c>
      <c r="I229" s="75">
        <f t="shared" si="9"/>
        <v>123.2</v>
      </c>
      <c r="J229" s="72" t="s">
        <v>165</v>
      </c>
      <c r="K229" s="71">
        <v>42529</v>
      </c>
      <c r="L229" s="72" t="s">
        <v>119</v>
      </c>
      <c r="M229" s="78"/>
    </row>
    <row r="230" spans="1:13" s="79" customFormat="1" ht="17.25" customHeight="1">
      <c r="A230" s="71">
        <v>42375</v>
      </c>
      <c r="B230" s="72" t="s">
        <v>469</v>
      </c>
      <c r="C230" s="72" t="s">
        <v>121</v>
      </c>
      <c r="D230" s="72" t="s">
        <v>507</v>
      </c>
      <c r="E230" s="72" t="s">
        <v>504</v>
      </c>
      <c r="F230" s="72"/>
      <c r="G230" s="73">
        <v>56</v>
      </c>
      <c r="H230" s="74">
        <v>7.5</v>
      </c>
      <c r="I230" s="75">
        <f t="shared" si="9"/>
        <v>420</v>
      </c>
      <c r="J230" s="72" t="s">
        <v>165</v>
      </c>
      <c r="K230" s="71">
        <v>42529</v>
      </c>
      <c r="L230" s="72" t="s">
        <v>119</v>
      </c>
      <c r="M230" s="78"/>
    </row>
    <row r="231" spans="1:13" s="79" customFormat="1" ht="17.25" customHeight="1">
      <c r="A231" s="71">
        <v>42416</v>
      </c>
      <c r="B231" s="72" t="s">
        <v>469</v>
      </c>
      <c r="C231" s="72" t="s">
        <v>25</v>
      </c>
      <c r="D231" s="72" t="s">
        <v>508</v>
      </c>
      <c r="E231" s="72" t="s">
        <v>509</v>
      </c>
      <c r="F231" s="72" t="s">
        <v>356</v>
      </c>
      <c r="G231" s="73">
        <v>3780</v>
      </c>
      <c r="H231" s="74">
        <v>5.75</v>
      </c>
      <c r="I231" s="75">
        <f t="shared" si="9"/>
        <v>21735</v>
      </c>
      <c r="J231" s="72" t="s">
        <v>232</v>
      </c>
      <c r="K231" s="71">
        <v>42510</v>
      </c>
      <c r="L231" s="72" t="s">
        <v>130</v>
      </c>
      <c r="M231" s="78"/>
    </row>
    <row r="232" spans="1:13" s="79" customFormat="1" ht="17.25" customHeight="1">
      <c r="A232" s="71">
        <v>42416</v>
      </c>
      <c r="B232" s="72" t="s">
        <v>469</v>
      </c>
      <c r="C232" s="72" t="s">
        <v>25</v>
      </c>
      <c r="D232" s="72" t="s">
        <v>510</v>
      </c>
      <c r="E232" s="72" t="s">
        <v>509</v>
      </c>
      <c r="F232" s="72" t="s">
        <v>356</v>
      </c>
      <c r="G232" s="73">
        <v>2513</v>
      </c>
      <c r="H232" s="74">
        <v>5.75</v>
      </c>
      <c r="I232" s="75">
        <f t="shared" si="9"/>
        <v>14449.75</v>
      </c>
      <c r="J232" s="72" t="s">
        <v>232</v>
      </c>
      <c r="K232" s="71">
        <v>42510</v>
      </c>
      <c r="L232" s="72" t="s">
        <v>130</v>
      </c>
      <c r="M232" s="78"/>
    </row>
    <row r="233" spans="1:13" s="79" customFormat="1" ht="17.25" customHeight="1">
      <c r="A233" s="71">
        <v>42416</v>
      </c>
      <c r="B233" s="72" t="s">
        <v>469</v>
      </c>
      <c r="C233" s="72" t="s">
        <v>25</v>
      </c>
      <c r="D233" s="72" t="s">
        <v>511</v>
      </c>
      <c r="E233" s="72" t="s">
        <v>509</v>
      </c>
      <c r="F233" s="72" t="s">
        <v>356</v>
      </c>
      <c r="G233" s="73">
        <v>90</v>
      </c>
      <c r="H233" s="74">
        <v>5.75</v>
      </c>
      <c r="I233" s="75">
        <f t="shared" si="9"/>
        <v>517.5</v>
      </c>
      <c r="J233" s="72" t="s">
        <v>232</v>
      </c>
      <c r="K233" s="71">
        <v>42510</v>
      </c>
      <c r="L233" s="72" t="s">
        <v>130</v>
      </c>
      <c r="M233" s="78"/>
    </row>
    <row r="234" spans="1:13" s="79" customFormat="1" ht="17.25" customHeight="1">
      <c r="A234" s="71">
        <v>42417</v>
      </c>
      <c r="B234" s="72" t="s">
        <v>469</v>
      </c>
      <c r="C234" s="72" t="s">
        <v>25</v>
      </c>
      <c r="D234" s="72" t="s">
        <v>512</v>
      </c>
      <c r="E234" s="72" t="s">
        <v>513</v>
      </c>
      <c r="F234" s="72" t="s">
        <v>356</v>
      </c>
      <c r="G234" s="73">
        <v>2616</v>
      </c>
      <c r="H234" s="74">
        <v>4.2</v>
      </c>
      <c r="I234" s="75">
        <f t="shared" si="9"/>
        <v>10987.2</v>
      </c>
      <c r="J234" s="72" t="s">
        <v>165</v>
      </c>
      <c r="K234" s="71">
        <v>42531</v>
      </c>
      <c r="L234" s="72" t="s">
        <v>130</v>
      </c>
      <c r="M234" s="78"/>
    </row>
    <row r="235" spans="1:13" s="79" customFormat="1" ht="17.25" customHeight="1">
      <c r="A235" s="71">
        <v>42417</v>
      </c>
      <c r="B235" s="72" t="s">
        <v>469</v>
      </c>
      <c r="C235" s="72" t="s">
        <v>25</v>
      </c>
      <c r="D235" s="72" t="s">
        <v>514</v>
      </c>
      <c r="E235" s="72" t="s">
        <v>513</v>
      </c>
      <c r="F235" s="72" t="s">
        <v>356</v>
      </c>
      <c r="G235" s="73">
        <v>1736</v>
      </c>
      <c r="H235" s="74">
        <v>4.2</v>
      </c>
      <c r="I235" s="75">
        <f t="shared" si="9"/>
        <v>7291.2000000000007</v>
      </c>
      <c r="J235" s="72" t="s">
        <v>165</v>
      </c>
      <c r="K235" s="71">
        <v>42531</v>
      </c>
      <c r="L235" s="72" t="s">
        <v>130</v>
      </c>
      <c r="M235" s="78"/>
    </row>
    <row r="236" spans="1:13" s="79" customFormat="1" ht="17.25" customHeight="1">
      <c r="A236" s="71">
        <v>42417</v>
      </c>
      <c r="B236" s="72" t="s">
        <v>469</v>
      </c>
      <c r="C236" s="72" t="s">
        <v>25</v>
      </c>
      <c r="D236" s="72" t="s">
        <v>515</v>
      </c>
      <c r="E236" s="72" t="s">
        <v>516</v>
      </c>
      <c r="F236" s="72" t="s">
        <v>356</v>
      </c>
      <c r="G236" s="73">
        <v>4158</v>
      </c>
      <c r="H236" s="74">
        <v>4.8499999999999996</v>
      </c>
      <c r="I236" s="75">
        <f t="shared" si="9"/>
        <v>20166.3</v>
      </c>
      <c r="J236" s="72" t="s">
        <v>165</v>
      </c>
      <c r="K236" s="71">
        <v>42531</v>
      </c>
      <c r="L236" s="72" t="s">
        <v>130</v>
      </c>
      <c r="M236" s="78"/>
    </row>
    <row r="237" spans="1:13" s="79" customFormat="1" ht="17.25" customHeight="1">
      <c r="A237" s="71">
        <v>42417</v>
      </c>
      <c r="B237" s="72" t="s">
        <v>469</v>
      </c>
      <c r="C237" s="72" t="s">
        <v>25</v>
      </c>
      <c r="D237" s="72" t="s">
        <v>517</v>
      </c>
      <c r="E237" s="72" t="s">
        <v>516</v>
      </c>
      <c r="F237" s="72" t="s">
        <v>356</v>
      </c>
      <c r="G237" s="73">
        <v>745</v>
      </c>
      <c r="H237" s="74">
        <v>4.8499999999999996</v>
      </c>
      <c r="I237" s="75">
        <f t="shared" si="9"/>
        <v>3613.2499999999995</v>
      </c>
      <c r="J237" s="72" t="s">
        <v>165</v>
      </c>
      <c r="K237" s="71">
        <v>42531</v>
      </c>
      <c r="L237" s="72" t="s">
        <v>130</v>
      </c>
      <c r="M237" s="78"/>
    </row>
    <row r="238" spans="1:13" s="79" customFormat="1" ht="17.25" customHeight="1">
      <c r="A238" s="71">
        <v>42340</v>
      </c>
      <c r="B238" s="81" t="s">
        <v>469</v>
      </c>
      <c r="C238" s="82" t="s">
        <v>125</v>
      </c>
      <c r="D238" s="72" t="s">
        <v>518</v>
      </c>
      <c r="E238" s="72" t="s">
        <v>519</v>
      </c>
      <c r="F238" s="72" t="s">
        <v>117</v>
      </c>
      <c r="G238" s="73">
        <v>7429</v>
      </c>
      <c r="H238" s="74">
        <v>9.25</v>
      </c>
      <c r="I238" s="83">
        <f t="shared" si="9"/>
        <v>68718.25</v>
      </c>
      <c r="J238" s="84" t="s">
        <v>246</v>
      </c>
      <c r="K238" s="95">
        <v>42454</v>
      </c>
      <c r="L238" s="72" t="s">
        <v>130</v>
      </c>
      <c r="M238" s="78"/>
    </row>
    <row r="239" spans="1:13" s="79" customFormat="1" ht="17.25" customHeight="1">
      <c r="A239" s="71">
        <v>42342</v>
      </c>
      <c r="B239" s="81" t="s">
        <v>469</v>
      </c>
      <c r="C239" s="82" t="s">
        <v>125</v>
      </c>
      <c r="D239" s="72" t="s">
        <v>520</v>
      </c>
      <c r="E239" s="72" t="s">
        <v>521</v>
      </c>
      <c r="F239" s="72" t="s">
        <v>522</v>
      </c>
      <c r="G239" s="73">
        <v>1752</v>
      </c>
      <c r="H239" s="74">
        <v>9.25</v>
      </c>
      <c r="I239" s="83">
        <f t="shared" si="9"/>
        <v>16206</v>
      </c>
      <c r="J239" s="84" t="s">
        <v>216</v>
      </c>
      <c r="K239" s="95">
        <v>42461</v>
      </c>
      <c r="L239" s="72" t="s">
        <v>130</v>
      </c>
      <c r="M239" s="78"/>
    </row>
    <row r="240" spans="1:13" s="79" customFormat="1" ht="17.25" customHeight="1">
      <c r="A240" s="71">
        <v>42342</v>
      </c>
      <c r="B240" s="81" t="s">
        <v>469</v>
      </c>
      <c r="C240" s="82" t="s">
        <v>125</v>
      </c>
      <c r="D240" s="72" t="s">
        <v>523</v>
      </c>
      <c r="E240" s="72" t="s">
        <v>521</v>
      </c>
      <c r="F240" s="72" t="s">
        <v>416</v>
      </c>
      <c r="G240" s="73">
        <v>648</v>
      </c>
      <c r="H240" s="74">
        <v>8.25</v>
      </c>
      <c r="I240" s="83">
        <f t="shared" si="9"/>
        <v>5346</v>
      </c>
      <c r="J240" s="84" t="s">
        <v>417</v>
      </c>
      <c r="K240" s="95">
        <v>42430</v>
      </c>
      <c r="L240" s="72" t="s">
        <v>130</v>
      </c>
      <c r="M240" s="78"/>
    </row>
    <row r="241" spans="1:13" s="79" customFormat="1" ht="17.25" customHeight="1">
      <c r="A241" s="71">
        <v>42334</v>
      </c>
      <c r="B241" s="72" t="s">
        <v>469</v>
      </c>
      <c r="C241" s="72" t="s">
        <v>30</v>
      </c>
      <c r="D241" s="72" t="s">
        <v>524</v>
      </c>
      <c r="E241" s="72" t="s">
        <v>525</v>
      </c>
      <c r="F241" s="98" t="s">
        <v>227</v>
      </c>
      <c r="G241" s="73">
        <v>1434</v>
      </c>
      <c r="H241" s="74"/>
      <c r="I241" s="75">
        <f t="shared" si="9"/>
        <v>0</v>
      </c>
      <c r="J241" s="72" t="s">
        <v>228</v>
      </c>
      <c r="K241" s="71">
        <v>42473</v>
      </c>
      <c r="L241" s="72" t="s">
        <v>130</v>
      </c>
      <c r="M241" s="78"/>
    </row>
    <row r="242" spans="1:13" s="79" customFormat="1" ht="17.25" customHeight="1">
      <c r="A242" s="71">
        <v>42374</v>
      </c>
      <c r="B242" s="72" t="s">
        <v>469</v>
      </c>
      <c r="C242" s="72" t="s">
        <v>31</v>
      </c>
      <c r="D242" s="72" t="s">
        <v>526</v>
      </c>
      <c r="E242" s="72" t="s">
        <v>527</v>
      </c>
      <c r="F242" s="98" t="s">
        <v>227</v>
      </c>
      <c r="G242" s="73">
        <v>870</v>
      </c>
      <c r="H242" s="74"/>
      <c r="I242" s="75">
        <f t="shared" si="9"/>
        <v>0</v>
      </c>
      <c r="J242" s="72" t="s">
        <v>232</v>
      </c>
      <c r="K242" s="71">
        <v>42501</v>
      </c>
      <c r="L242" s="72" t="s">
        <v>130</v>
      </c>
      <c r="M242" s="78"/>
    </row>
    <row r="243" spans="1:13" s="79" customFormat="1" ht="17.25" customHeight="1">
      <c r="A243" s="71">
        <v>42374</v>
      </c>
      <c r="B243" s="72" t="s">
        <v>469</v>
      </c>
      <c r="C243" s="72" t="s">
        <v>31</v>
      </c>
      <c r="D243" s="72" t="s">
        <v>528</v>
      </c>
      <c r="E243" s="72" t="s">
        <v>527</v>
      </c>
      <c r="F243" s="98" t="s">
        <v>227</v>
      </c>
      <c r="G243" s="73">
        <v>600</v>
      </c>
      <c r="H243" s="74"/>
      <c r="I243" s="75">
        <f t="shared" si="9"/>
        <v>0</v>
      </c>
      <c r="J243" s="72" t="s">
        <v>232</v>
      </c>
      <c r="K243" s="71">
        <v>42501</v>
      </c>
      <c r="L243" s="72" t="s">
        <v>130</v>
      </c>
      <c r="M243" s="78"/>
    </row>
    <row r="244" spans="1:13" s="79" customFormat="1" ht="17.25" customHeight="1">
      <c r="A244" s="71">
        <v>42374</v>
      </c>
      <c r="B244" s="72" t="s">
        <v>469</v>
      </c>
      <c r="C244" s="72" t="s">
        <v>31</v>
      </c>
      <c r="D244" s="72" t="s">
        <v>529</v>
      </c>
      <c r="E244" s="72" t="s">
        <v>525</v>
      </c>
      <c r="F244" s="98" t="s">
        <v>227</v>
      </c>
      <c r="G244" s="73">
        <v>4236</v>
      </c>
      <c r="H244" s="74"/>
      <c r="I244" s="75">
        <f t="shared" si="9"/>
        <v>0</v>
      </c>
      <c r="J244" s="72" t="s">
        <v>232</v>
      </c>
      <c r="K244" s="71">
        <v>42501</v>
      </c>
      <c r="L244" s="72" t="s">
        <v>130</v>
      </c>
      <c r="M244" s="78"/>
    </row>
    <row r="245" spans="1:13" s="79" customFormat="1" ht="17.25" customHeight="1">
      <c r="A245" s="71">
        <v>42374</v>
      </c>
      <c r="B245" s="72" t="s">
        <v>469</v>
      </c>
      <c r="C245" s="72" t="s">
        <v>31</v>
      </c>
      <c r="D245" s="72" t="s">
        <v>530</v>
      </c>
      <c r="E245" s="72" t="s">
        <v>531</v>
      </c>
      <c r="F245" s="98" t="s">
        <v>227</v>
      </c>
      <c r="G245" s="73">
        <v>1836</v>
      </c>
      <c r="H245" s="74"/>
      <c r="I245" s="75">
        <f t="shared" si="9"/>
        <v>0</v>
      </c>
      <c r="J245" s="72" t="s">
        <v>232</v>
      </c>
      <c r="K245" s="71">
        <v>42501</v>
      </c>
      <c r="L245" s="72" t="s">
        <v>130</v>
      </c>
      <c r="M245" s="78"/>
    </row>
    <row r="246" spans="1:13" s="79" customFormat="1" ht="17.25" customHeight="1">
      <c r="A246" s="71">
        <v>42333</v>
      </c>
      <c r="B246" s="72" t="s">
        <v>469</v>
      </c>
      <c r="C246" s="72" t="s">
        <v>30</v>
      </c>
      <c r="D246" s="72" t="s">
        <v>532</v>
      </c>
      <c r="E246" s="72" t="s">
        <v>533</v>
      </c>
      <c r="F246" s="72"/>
      <c r="G246" s="73">
        <v>3204</v>
      </c>
      <c r="H246" s="74">
        <v>5.8</v>
      </c>
      <c r="I246" s="83">
        <f t="shared" si="9"/>
        <v>18583.2</v>
      </c>
      <c r="J246" s="72" t="s">
        <v>174</v>
      </c>
      <c r="K246" s="71">
        <v>42468</v>
      </c>
      <c r="L246" s="72" t="s">
        <v>130</v>
      </c>
      <c r="M246" s="78"/>
    </row>
    <row r="247" spans="1:13" s="79" customFormat="1" ht="17.25" customHeight="1">
      <c r="A247" s="71">
        <v>42333</v>
      </c>
      <c r="B247" s="72" t="s">
        <v>469</v>
      </c>
      <c r="C247" s="72" t="s">
        <v>30</v>
      </c>
      <c r="D247" s="72" t="s">
        <v>532</v>
      </c>
      <c r="E247" s="72" t="s">
        <v>533</v>
      </c>
      <c r="F247" s="72"/>
      <c r="G247" s="73">
        <v>264</v>
      </c>
      <c r="H247" s="74">
        <v>5.65</v>
      </c>
      <c r="I247" s="83">
        <f t="shared" si="9"/>
        <v>1491.6000000000001</v>
      </c>
      <c r="J247" s="72" t="s">
        <v>174</v>
      </c>
      <c r="K247" s="71">
        <v>42468</v>
      </c>
      <c r="L247" s="72" t="s">
        <v>130</v>
      </c>
      <c r="M247" s="78"/>
    </row>
    <row r="248" spans="1:13" s="79" customFormat="1" ht="17.25" customHeight="1">
      <c r="A248" s="71">
        <v>42333</v>
      </c>
      <c r="B248" s="72" t="s">
        <v>469</v>
      </c>
      <c r="C248" s="72" t="s">
        <v>30</v>
      </c>
      <c r="D248" s="72" t="s">
        <v>534</v>
      </c>
      <c r="E248" s="72" t="s">
        <v>533</v>
      </c>
      <c r="F248" s="72"/>
      <c r="G248" s="73">
        <v>156</v>
      </c>
      <c r="H248" s="74">
        <v>5.8</v>
      </c>
      <c r="I248" s="83">
        <f t="shared" si="9"/>
        <v>904.8</v>
      </c>
      <c r="J248" s="72" t="s">
        <v>174</v>
      </c>
      <c r="K248" s="71">
        <v>42468</v>
      </c>
      <c r="L248" s="72" t="s">
        <v>130</v>
      </c>
      <c r="M248" s="78"/>
    </row>
    <row r="249" spans="1:13" s="79" customFormat="1" ht="17.25" customHeight="1">
      <c r="A249" s="71">
        <v>42346</v>
      </c>
      <c r="B249" s="72" t="s">
        <v>469</v>
      </c>
      <c r="C249" s="72" t="s">
        <v>30</v>
      </c>
      <c r="D249" s="72" t="s">
        <v>535</v>
      </c>
      <c r="E249" s="72" t="s">
        <v>536</v>
      </c>
      <c r="F249" s="72"/>
      <c r="G249" s="73">
        <v>1126</v>
      </c>
      <c r="H249" s="74">
        <v>8.85</v>
      </c>
      <c r="I249" s="83">
        <f t="shared" si="9"/>
        <v>9965.1</v>
      </c>
      <c r="J249" s="72" t="s">
        <v>366</v>
      </c>
      <c r="K249" s="71">
        <v>42452</v>
      </c>
      <c r="L249" s="72" t="s">
        <v>130</v>
      </c>
      <c r="M249" s="78"/>
    </row>
    <row r="250" spans="1:13" s="79" customFormat="1" ht="17.25" customHeight="1">
      <c r="A250" s="71">
        <v>42424</v>
      </c>
      <c r="B250" s="72" t="s">
        <v>469</v>
      </c>
      <c r="C250" s="72" t="s">
        <v>30</v>
      </c>
      <c r="D250" s="72" t="s">
        <v>537</v>
      </c>
      <c r="E250" s="72" t="s">
        <v>538</v>
      </c>
      <c r="F250" s="72"/>
      <c r="G250" s="73">
        <v>395</v>
      </c>
      <c r="H250" s="74">
        <v>4</v>
      </c>
      <c r="I250" s="83">
        <f t="shared" si="9"/>
        <v>1580</v>
      </c>
      <c r="J250" s="72" t="s">
        <v>158</v>
      </c>
      <c r="K250" s="71">
        <v>42545</v>
      </c>
      <c r="L250" s="72" t="s">
        <v>130</v>
      </c>
      <c r="M250" s="78"/>
    </row>
    <row r="251" spans="1:13" s="79" customFormat="1" ht="17.25" customHeight="1">
      <c r="A251" s="71">
        <v>42424</v>
      </c>
      <c r="B251" s="72" t="s">
        <v>469</v>
      </c>
      <c r="C251" s="72" t="s">
        <v>30</v>
      </c>
      <c r="D251" s="72" t="s">
        <v>537</v>
      </c>
      <c r="E251" s="72" t="s">
        <v>538</v>
      </c>
      <c r="F251" s="72"/>
      <c r="G251" s="73">
        <v>5980</v>
      </c>
      <c r="H251" s="74">
        <v>4.1500000000000004</v>
      </c>
      <c r="I251" s="83">
        <f t="shared" si="9"/>
        <v>24817.000000000004</v>
      </c>
      <c r="J251" s="72" t="s">
        <v>158</v>
      </c>
      <c r="K251" s="71">
        <v>42545</v>
      </c>
      <c r="L251" s="72" t="s">
        <v>130</v>
      </c>
      <c r="M251" s="78"/>
    </row>
    <row r="252" spans="1:13" s="79" customFormat="1" ht="17.25" customHeight="1">
      <c r="A252" s="71">
        <v>42430</v>
      </c>
      <c r="B252" s="72" t="s">
        <v>469</v>
      </c>
      <c r="C252" s="72" t="s">
        <v>30</v>
      </c>
      <c r="D252" s="72">
        <v>9680</v>
      </c>
      <c r="E252" s="72" t="s">
        <v>539</v>
      </c>
      <c r="F252" s="72"/>
      <c r="G252" s="73">
        <v>11551</v>
      </c>
      <c r="H252" s="74">
        <v>4.6500000000000004</v>
      </c>
      <c r="I252" s="83">
        <f t="shared" si="9"/>
        <v>53712.15</v>
      </c>
      <c r="J252" s="72" t="s">
        <v>261</v>
      </c>
      <c r="K252" s="71">
        <v>42531</v>
      </c>
      <c r="L252" s="72" t="s">
        <v>130</v>
      </c>
      <c r="M252" s="78"/>
    </row>
    <row r="253" spans="1:13" s="79" customFormat="1" ht="17.25" customHeight="1">
      <c r="A253" s="71">
        <v>42430</v>
      </c>
      <c r="B253" s="72" t="s">
        <v>469</v>
      </c>
      <c r="C253" s="72" t="s">
        <v>30</v>
      </c>
      <c r="D253" s="72">
        <v>9680</v>
      </c>
      <c r="E253" s="72" t="s">
        <v>539</v>
      </c>
      <c r="F253" s="72"/>
      <c r="G253" s="73">
        <v>675</v>
      </c>
      <c r="H253" s="74">
        <v>4.5</v>
      </c>
      <c r="I253" s="83">
        <f t="shared" si="9"/>
        <v>3037.5</v>
      </c>
      <c r="J253" s="72" t="s">
        <v>261</v>
      </c>
      <c r="K253" s="71">
        <v>42531</v>
      </c>
      <c r="L253" s="72" t="s">
        <v>130</v>
      </c>
      <c r="M253" s="78"/>
    </row>
    <row r="254" spans="1:13" s="79" customFormat="1" ht="17.25" customHeight="1">
      <c r="A254" s="71">
        <v>42430</v>
      </c>
      <c r="B254" s="72" t="s">
        <v>469</v>
      </c>
      <c r="C254" s="72" t="s">
        <v>30</v>
      </c>
      <c r="D254" s="72">
        <v>9682</v>
      </c>
      <c r="E254" s="72" t="s">
        <v>539</v>
      </c>
      <c r="F254" s="72"/>
      <c r="G254" s="73">
        <v>38</v>
      </c>
      <c r="H254" s="74">
        <v>4.6500000000000004</v>
      </c>
      <c r="I254" s="83">
        <f t="shared" si="9"/>
        <v>176.70000000000002</v>
      </c>
      <c r="J254" s="72" t="s">
        <v>118</v>
      </c>
      <c r="K254" s="71">
        <v>42517</v>
      </c>
      <c r="L254" s="72" t="s">
        <v>130</v>
      </c>
      <c r="M254" s="78"/>
    </row>
    <row r="255" spans="1:13" s="79" customFormat="1" ht="17.25" customHeight="1">
      <c r="A255" s="71">
        <v>42361</v>
      </c>
      <c r="B255" s="80" t="s">
        <v>88</v>
      </c>
      <c r="C255" s="72" t="s">
        <v>28</v>
      </c>
      <c r="D255" s="72" t="s">
        <v>540</v>
      </c>
      <c r="E255" s="72" t="s">
        <v>333</v>
      </c>
      <c r="F255" s="72" t="s">
        <v>446</v>
      </c>
      <c r="G255" s="73">
        <v>6528</v>
      </c>
      <c r="H255" s="74">
        <v>5.75</v>
      </c>
      <c r="I255" s="75">
        <f t="shared" ref="I255:I278" si="10">G255*H255</f>
        <v>37536</v>
      </c>
      <c r="J255" s="72" t="s">
        <v>174</v>
      </c>
      <c r="K255" s="71">
        <v>42473</v>
      </c>
      <c r="L255" s="105" t="s">
        <v>119</v>
      </c>
      <c r="M255" s="78"/>
    </row>
    <row r="256" spans="1:13" s="79" customFormat="1" ht="17.25" customHeight="1">
      <c r="A256" s="71">
        <v>42331</v>
      </c>
      <c r="B256" s="80" t="s">
        <v>88</v>
      </c>
      <c r="C256" s="72" t="s">
        <v>28</v>
      </c>
      <c r="D256" s="72" t="s">
        <v>541</v>
      </c>
      <c r="E256" s="72" t="s">
        <v>542</v>
      </c>
      <c r="F256" s="72" t="s">
        <v>149</v>
      </c>
      <c r="G256" s="91">
        <v>1496</v>
      </c>
      <c r="H256" s="74">
        <v>6.5</v>
      </c>
      <c r="I256" s="75">
        <f t="shared" si="10"/>
        <v>9724</v>
      </c>
      <c r="J256" s="72" t="s">
        <v>543</v>
      </c>
      <c r="K256" s="71">
        <v>42452</v>
      </c>
      <c r="L256" s="105" t="s">
        <v>119</v>
      </c>
      <c r="M256" s="78"/>
    </row>
    <row r="257" spans="1:13" s="79" customFormat="1" ht="17.25" customHeight="1">
      <c r="A257" s="71">
        <v>42347</v>
      </c>
      <c r="B257" s="80" t="s">
        <v>88</v>
      </c>
      <c r="C257" s="72" t="s">
        <v>28</v>
      </c>
      <c r="D257" s="72" t="s">
        <v>544</v>
      </c>
      <c r="E257" s="72" t="s">
        <v>542</v>
      </c>
      <c r="F257" s="72" t="s">
        <v>149</v>
      </c>
      <c r="G257" s="90">
        <v>392</v>
      </c>
      <c r="H257" s="74">
        <v>6.5</v>
      </c>
      <c r="I257" s="75">
        <f t="shared" si="10"/>
        <v>2548</v>
      </c>
      <c r="J257" s="72" t="s">
        <v>543</v>
      </c>
      <c r="K257" s="71">
        <v>42452</v>
      </c>
      <c r="L257" s="105" t="s">
        <v>119</v>
      </c>
      <c r="M257" s="78"/>
    </row>
    <row r="258" spans="1:13" s="79" customFormat="1" ht="17.25" customHeight="1">
      <c r="A258" s="71">
        <v>42347</v>
      </c>
      <c r="B258" s="80" t="s">
        <v>88</v>
      </c>
      <c r="C258" s="72" t="s">
        <v>28</v>
      </c>
      <c r="D258" s="72" t="s">
        <v>545</v>
      </c>
      <c r="E258" s="72" t="s">
        <v>542</v>
      </c>
      <c r="F258" s="72" t="s">
        <v>149</v>
      </c>
      <c r="G258" s="90">
        <v>72</v>
      </c>
      <c r="H258" s="74">
        <v>6.3</v>
      </c>
      <c r="I258" s="75">
        <f t="shared" si="10"/>
        <v>453.59999999999997</v>
      </c>
      <c r="J258" s="72" t="s">
        <v>543</v>
      </c>
      <c r="K258" s="71">
        <v>42452</v>
      </c>
      <c r="L258" s="105" t="s">
        <v>119</v>
      </c>
      <c r="M258" s="78"/>
    </row>
    <row r="259" spans="1:13" s="79" customFormat="1" ht="17.25" customHeight="1">
      <c r="A259" s="71">
        <v>42331</v>
      </c>
      <c r="B259" s="80" t="s">
        <v>88</v>
      </c>
      <c r="C259" s="72" t="s">
        <v>28</v>
      </c>
      <c r="D259" s="72" t="s">
        <v>546</v>
      </c>
      <c r="E259" s="72" t="s">
        <v>542</v>
      </c>
      <c r="F259" s="72" t="s">
        <v>173</v>
      </c>
      <c r="G259" s="91">
        <v>558</v>
      </c>
      <c r="H259" s="74">
        <v>6.5</v>
      </c>
      <c r="I259" s="75">
        <f t="shared" si="10"/>
        <v>3627</v>
      </c>
      <c r="J259" s="72" t="s">
        <v>543</v>
      </c>
      <c r="K259" s="71">
        <v>42452</v>
      </c>
      <c r="L259" s="105" t="s">
        <v>119</v>
      </c>
      <c r="M259" s="78"/>
    </row>
    <row r="260" spans="1:13" s="79" customFormat="1" ht="17.25" customHeight="1">
      <c r="A260" s="71">
        <v>42331</v>
      </c>
      <c r="B260" s="80" t="s">
        <v>88</v>
      </c>
      <c r="C260" s="72" t="s">
        <v>28</v>
      </c>
      <c r="D260" s="72" t="s">
        <v>547</v>
      </c>
      <c r="E260" s="72" t="s">
        <v>542</v>
      </c>
      <c r="F260" s="72" t="s">
        <v>489</v>
      </c>
      <c r="G260" s="90">
        <v>546</v>
      </c>
      <c r="H260" s="74">
        <v>6.3</v>
      </c>
      <c r="I260" s="75">
        <f t="shared" si="10"/>
        <v>3439.7999999999997</v>
      </c>
      <c r="J260" s="72" t="s">
        <v>543</v>
      </c>
      <c r="K260" s="71">
        <v>42452</v>
      </c>
      <c r="L260" s="105" t="s">
        <v>119</v>
      </c>
      <c r="M260" s="78"/>
    </row>
    <row r="261" spans="1:13" s="79" customFormat="1" ht="17.25" customHeight="1">
      <c r="A261" s="71">
        <v>42331</v>
      </c>
      <c r="B261" s="80" t="s">
        <v>88</v>
      </c>
      <c r="C261" s="72" t="s">
        <v>28</v>
      </c>
      <c r="D261" s="72" t="s">
        <v>548</v>
      </c>
      <c r="E261" s="72" t="s">
        <v>542</v>
      </c>
      <c r="F261" s="72" t="s">
        <v>173</v>
      </c>
      <c r="G261" s="90">
        <v>6</v>
      </c>
      <c r="H261" s="74">
        <v>6.3</v>
      </c>
      <c r="I261" s="75">
        <f t="shared" si="10"/>
        <v>37.799999999999997</v>
      </c>
      <c r="J261" s="72" t="s">
        <v>543</v>
      </c>
      <c r="K261" s="71">
        <v>42452</v>
      </c>
      <c r="L261" s="105" t="s">
        <v>119</v>
      </c>
      <c r="M261" s="78"/>
    </row>
    <row r="262" spans="1:13" s="79" customFormat="1" ht="17.25" customHeight="1">
      <c r="A262" s="71">
        <v>42377</v>
      </c>
      <c r="B262" s="80" t="s">
        <v>88</v>
      </c>
      <c r="C262" s="72" t="s">
        <v>28</v>
      </c>
      <c r="D262" s="72" t="s">
        <v>549</v>
      </c>
      <c r="E262" s="72" t="s">
        <v>542</v>
      </c>
      <c r="F262" s="72" t="s">
        <v>199</v>
      </c>
      <c r="G262" s="90">
        <v>150</v>
      </c>
      <c r="H262" s="74">
        <v>6.3</v>
      </c>
      <c r="I262" s="75">
        <f t="shared" si="10"/>
        <v>945</v>
      </c>
      <c r="J262" s="72" t="s">
        <v>543</v>
      </c>
      <c r="K262" s="71">
        <v>42452</v>
      </c>
      <c r="L262" s="105" t="s">
        <v>119</v>
      </c>
      <c r="M262" s="78"/>
    </row>
    <row r="263" spans="1:13" s="79" customFormat="1" ht="17.25" customHeight="1">
      <c r="A263" s="71">
        <v>42377</v>
      </c>
      <c r="B263" s="72" t="s">
        <v>88</v>
      </c>
      <c r="C263" s="72" t="s">
        <v>28</v>
      </c>
      <c r="D263" s="72" t="s">
        <v>550</v>
      </c>
      <c r="E263" s="72" t="s">
        <v>542</v>
      </c>
      <c r="F263" s="72" t="s">
        <v>173</v>
      </c>
      <c r="G263" s="90">
        <v>582</v>
      </c>
      <c r="H263" s="74">
        <v>6.5</v>
      </c>
      <c r="I263" s="75">
        <f t="shared" si="10"/>
        <v>3783</v>
      </c>
      <c r="J263" s="72" t="s">
        <v>543</v>
      </c>
      <c r="K263" s="71">
        <v>42452</v>
      </c>
      <c r="L263" s="105" t="s">
        <v>119</v>
      </c>
      <c r="M263" s="78"/>
    </row>
    <row r="264" spans="1:13" s="79" customFormat="1" ht="17.25" customHeight="1">
      <c r="A264" s="71">
        <v>42348</v>
      </c>
      <c r="B264" s="72" t="s">
        <v>88</v>
      </c>
      <c r="C264" s="72" t="s">
        <v>28</v>
      </c>
      <c r="D264" s="72" t="s">
        <v>551</v>
      </c>
      <c r="E264" s="72" t="s">
        <v>542</v>
      </c>
      <c r="F264" s="72" t="s">
        <v>552</v>
      </c>
      <c r="G264" s="90">
        <v>564</v>
      </c>
      <c r="H264" s="74">
        <v>6.3</v>
      </c>
      <c r="I264" s="75">
        <f t="shared" si="10"/>
        <v>3553.2</v>
      </c>
      <c r="J264" s="72" t="s">
        <v>543</v>
      </c>
      <c r="K264" s="71">
        <v>42452</v>
      </c>
      <c r="L264" s="105" t="s">
        <v>119</v>
      </c>
      <c r="M264" s="78"/>
    </row>
    <row r="265" spans="1:13" s="79" customFormat="1" ht="17.25" customHeight="1">
      <c r="A265" s="71">
        <v>42332</v>
      </c>
      <c r="B265" s="72" t="s">
        <v>553</v>
      </c>
      <c r="C265" s="72" t="s">
        <v>121</v>
      </c>
      <c r="D265" s="72" t="s">
        <v>554</v>
      </c>
      <c r="E265" s="72" t="s">
        <v>555</v>
      </c>
      <c r="F265" s="72" t="s">
        <v>437</v>
      </c>
      <c r="G265" s="73">
        <v>1800</v>
      </c>
      <c r="H265" s="74">
        <v>5.2</v>
      </c>
      <c r="I265" s="75">
        <f t="shared" si="10"/>
        <v>9360</v>
      </c>
      <c r="J265" s="72" t="s">
        <v>174</v>
      </c>
      <c r="K265" s="71">
        <v>42472</v>
      </c>
      <c r="L265" s="72" t="s">
        <v>130</v>
      </c>
      <c r="M265" s="78"/>
    </row>
    <row r="266" spans="1:13" s="79" customFormat="1" ht="17.25" customHeight="1">
      <c r="A266" s="71">
        <v>42332</v>
      </c>
      <c r="B266" s="72" t="s">
        <v>553</v>
      </c>
      <c r="C266" s="72" t="s">
        <v>121</v>
      </c>
      <c r="D266" s="72" t="s">
        <v>556</v>
      </c>
      <c r="E266" s="72" t="s">
        <v>555</v>
      </c>
      <c r="F266" s="72" t="s">
        <v>437</v>
      </c>
      <c r="G266" s="73">
        <v>1800</v>
      </c>
      <c r="H266" s="74">
        <v>5.2</v>
      </c>
      <c r="I266" s="75">
        <f t="shared" si="10"/>
        <v>9360</v>
      </c>
      <c r="J266" s="72" t="s">
        <v>174</v>
      </c>
      <c r="K266" s="71">
        <v>42472</v>
      </c>
      <c r="L266" s="72" t="s">
        <v>130</v>
      </c>
      <c r="M266" s="78"/>
    </row>
    <row r="267" spans="1:13" s="79" customFormat="1" ht="17.25" customHeight="1">
      <c r="A267" s="71">
        <v>42347</v>
      </c>
      <c r="B267" s="72" t="s">
        <v>553</v>
      </c>
      <c r="C267" s="72" t="s">
        <v>121</v>
      </c>
      <c r="D267" s="72" t="s">
        <v>557</v>
      </c>
      <c r="E267" s="72" t="s">
        <v>555</v>
      </c>
      <c r="F267" s="72" t="s">
        <v>558</v>
      </c>
      <c r="G267" s="73">
        <v>240</v>
      </c>
      <c r="H267" s="74">
        <v>5.4</v>
      </c>
      <c r="I267" s="75">
        <f t="shared" si="10"/>
        <v>1296</v>
      </c>
      <c r="J267" s="72" t="s">
        <v>174</v>
      </c>
      <c r="K267" s="71">
        <v>42472</v>
      </c>
      <c r="L267" s="72" t="s">
        <v>130</v>
      </c>
      <c r="M267" s="78"/>
    </row>
    <row r="268" spans="1:13" s="79" customFormat="1" ht="17.25" customHeight="1">
      <c r="A268" s="71">
        <v>42340</v>
      </c>
      <c r="B268" s="72" t="s">
        <v>553</v>
      </c>
      <c r="C268" s="72" t="s">
        <v>23</v>
      </c>
      <c r="D268" s="72" t="s">
        <v>559</v>
      </c>
      <c r="E268" s="72" t="s">
        <v>560</v>
      </c>
      <c r="F268" s="72" t="s">
        <v>182</v>
      </c>
      <c r="G268" s="73">
        <v>4020</v>
      </c>
      <c r="H268" s="74">
        <v>6</v>
      </c>
      <c r="I268" s="75">
        <f t="shared" si="10"/>
        <v>24120</v>
      </c>
      <c r="J268" s="72" t="s">
        <v>174</v>
      </c>
      <c r="K268" s="71">
        <v>42473</v>
      </c>
      <c r="L268" s="72" t="s">
        <v>119</v>
      </c>
      <c r="M268" s="78"/>
    </row>
    <row r="269" spans="1:13" s="79" customFormat="1" ht="17.25" customHeight="1">
      <c r="A269" s="71">
        <v>42340</v>
      </c>
      <c r="B269" s="72" t="s">
        <v>553</v>
      </c>
      <c r="C269" s="72" t="s">
        <v>23</v>
      </c>
      <c r="D269" s="72" t="s">
        <v>561</v>
      </c>
      <c r="E269" s="72" t="s">
        <v>560</v>
      </c>
      <c r="F269" s="72" t="s">
        <v>356</v>
      </c>
      <c r="G269" s="91">
        <v>4560</v>
      </c>
      <c r="H269" s="74">
        <v>5.8</v>
      </c>
      <c r="I269" s="75">
        <f t="shared" si="10"/>
        <v>26448</v>
      </c>
      <c r="J269" s="72" t="s">
        <v>174</v>
      </c>
      <c r="K269" s="71">
        <v>42473</v>
      </c>
      <c r="L269" s="72" t="s">
        <v>119</v>
      </c>
      <c r="M269" s="78"/>
    </row>
    <row r="270" spans="1:13" s="79" customFormat="1" ht="17.25" customHeight="1">
      <c r="A270" s="71">
        <v>42340</v>
      </c>
      <c r="B270" s="72" t="s">
        <v>553</v>
      </c>
      <c r="C270" s="72" t="s">
        <v>23</v>
      </c>
      <c r="D270" s="72" t="s">
        <v>562</v>
      </c>
      <c r="E270" s="72" t="s">
        <v>560</v>
      </c>
      <c r="F270" s="72" t="s">
        <v>356</v>
      </c>
      <c r="G270" s="73">
        <v>240</v>
      </c>
      <c r="H270" s="74">
        <v>5.8</v>
      </c>
      <c r="I270" s="75">
        <f t="shared" si="10"/>
        <v>1392</v>
      </c>
      <c r="J270" s="72" t="s">
        <v>174</v>
      </c>
      <c r="K270" s="71">
        <v>42473</v>
      </c>
      <c r="L270" s="72" t="s">
        <v>119</v>
      </c>
      <c r="M270" s="78"/>
    </row>
    <row r="271" spans="1:13" s="79" customFormat="1" ht="17.25" customHeight="1">
      <c r="A271" s="71">
        <v>42334</v>
      </c>
      <c r="B271" s="72" t="s">
        <v>553</v>
      </c>
      <c r="C271" s="72" t="s">
        <v>31</v>
      </c>
      <c r="D271" s="72" t="s">
        <v>563</v>
      </c>
      <c r="E271" s="72" t="s">
        <v>564</v>
      </c>
      <c r="F271" s="98" t="s">
        <v>227</v>
      </c>
      <c r="G271" s="73">
        <v>2409</v>
      </c>
      <c r="H271" s="74"/>
      <c r="I271" s="75">
        <f t="shared" si="10"/>
        <v>0</v>
      </c>
      <c r="J271" s="72" t="s">
        <v>366</v>
      </c>
      <c r="K271" s="71">
        <v>42452</v>
      </c>
      <c r="L271" s="72" t="s">
        <v>130</v>
      </c>
      <c r="M271" s="78"/>
    </row>
    <row r="272" spans="1:13" s="79" customFormat="1" ht="17.25" customHeight="1">
      <c r="A272" s="71">
        <v>42334</v>
      </c>
      <c r="B272" s="72" t="s">
        <v>553</v>
      </c>
      <c r="C272" s="72" t="s">
        <v>31</v>
      </c>
      <c r="D272" s="72" t="s">
        <v>565</v>
      </c>
      <c r="E272" s="72" t="s">
        <v>566</v>
      </c>
      <c r="F272" s="98" t="s">
        <v>227</v>
      </c>
      <c r="G272" s="91">
        <v>1062</v>
      </c>
      <c r="H272" s="74"/>
      <c r="I272" s="75">
        <f t="shared" si="10"/>
        <v>0</v>
      </c>
      <c r="J272" s="72" t="s">
        <v>366</v>
      </c>
      <c r="K272" s="71">
        <v>42452</v>
      </c>
      <c r="L272" s="72" t="s">
        <v>130</v>
      </c>
      <c r="M272" s="78"/>
    </row>
    <row r="273" spans="1:13" s="79" customFormat="1" ht="17.25" customHeight="1">
      <c r="A273" s="71">
        <v>42334</v>
      </c>
      <c r="B273" s="72" t="s">
        <v>553</v>
      </c>
      <c r="C273" s="72" t="s">
        <v>30</v>
      </c>
      <c r="D273" s="72" t="s">
        <v>567</v>
      </c>
      <c r="E273" s="72" t="s">
        <v>568</v>
      </c>
      <c r="F273" s="98" t="s">
        <v>227</v>
      </c>
      <c r="G273" s="73">
        <v>8682</v>
      </c>
      <c r="H273" s="74"/>
      <c r="I273" s="75">
        <f t="shared" si="10"/>
        <v>0</v>
      </c>
      <c r="J273" s="72" t="s">
        <v>366</v>
      </c>
      <c r="K273" s="71">
        <v>42452</v>
      </c>
      <c r="L273" s="72" t="s">
        <v>130</v>
      </c>
      <c r="M273" s="78"/>
    </row>
    <row r="274" spans="1:13" s="79" customFormat="1" ht="17.25" customHeight="1">
      <c r="A274" s="71">
        <v>42334</v>
      </c>
      <c r="B274" s="72" t="s">
        <v>553</v>
      </c>
      <c r="C274" s="72" t="s">
        <v>30</v>
      </c>
      <c r="D274" s="72" t="s">
        <v>569</v>
      </c>
      <c r="E274" s="72" t="s">
        <v>568</v>
      </c>
      <c r="F274" s="98" t="s">
        <v>227</v>
      </c>
      <c r="G274" s="73">
        <v>402</v>
      </c>
      <c r="H274" s="74"/>
      <c r="I274" s="75">
        <f t="shared" si="10"/>
        <v>0</v>
      </c>
      <c r="J274" s="72" t="s">
        <v>366</v>
      </c>
      <c r="K274" s="71">
        <v>42452</v>
      </c>
      <c r="L274" s="72" t="s">
        <v>130</v>
      </c>
      <c r="M274" s="78"/>
    </row>
    <row r="275" spans="1:13" s="79" customFormat="1" ht="17.25" customHeight="1">
      <c r="A275" s="71">
        <v>42334</v>
      </c>
      <c r="B275" s="72" t="s">
        <v>553</v>
      </c>
      <c r="C275" s="72" t="s">
        <v>31</v>
      </c>
      <c r="D275" s="72" t="s">
        <v>570</v>
      </c>
      <c r="E275" s="72" t="s">
        <v>571</v>
      </c>
      <c r="F275" s="98" t="s">
        <v>227</v>
      </c>
      <c r="G275" s="73">
        <v>4758</v>
      </c>
      <c r="H275" s="74"/>
      <c r="I275" s="75">
        <f t="shared" si="10"/>
        <v>0</v>
      </c>
      <c r="J275" s="72" t="s">
        <v>366</v>
      </c>
      <c r="K275" s="71">
        <v>42452</v>
      </c>
      <c r="L275" s="72" t="s">
        <v>130</v>
      </c>
      <c r="M275" s="78"/>
    </row>
    <row r="276" spans="1:13" s="79" customFormat="1" ht="17.25" customHeight="1">
      <c r="A276" s="71">
        <v>42334</v>
      </c>
      <c r="B276" s="72" t="s">
        <v>553</v>
      </c>
      <c r="C276" s="72" t="s">
        <v>31</v>
      </c>
      <c r="D276" s="72" t="s">
        <v>572</v>
      </c>
      <c r="E276" s="72" t="s">
        <v>571</v>
      </c>
      <c r="F276" s="98" t="s">
        <v>227</v>
      </c>
      <c r="G276" s="73">
        <v>201</v>
      </c>
      <c r="H276" s="74"/>
      <c r="I276" s="75">
        <f t="shared" si="10"/>
        <v>0</v>
      </c>
      <c r="J276" s="72" t="s">
        <v>366</v>
      </c>
      <c r="K276" s="71">
        <v>42452</v>
      </c>
      <c r="L276" s="72" t="s">
        <v>130</v>
      </c>
      <c r="M276" s="78"/>
    </row>
    <row r="277" spans="1:13" s="79" customFormat="1" ht="17.25" customHeight="1">
      <c r="A277" s="71">
        <v>42376</v>
      </c>
      <c r="B277" s="72" t="s">
        <v>553</v>
      </c>
      <c r="C277" s="72" t="s">
        <v>32</v>
      </c>
      <c r="D277" s="72" t="s">
        <v>573</v>
      </c>
      <c r="E277" s="72" t="s">
        <v>574</v>
      </c>
      <c r="F277" s="98" t="s">
        <v>227</v>
      </c>
      <c r="G277" s="73">
        <v>4347</v>
      </c>
      <c r="H277" s="74"/>
      <c r="I277" s="75">
        <f t="shared" si="10"/>
        <v>0</v>
      </c>
      <c r="J277" s="72" t="s">
        <v>232</v>
      </c>
      <c r="K277" s="71">
        <v>42501</v>
      </c>
      <c r="L277" s="72" t="s">
        <v>130</v>
      </c>
      <c r="M277" s="78"/>
    </row>
    <row r="278" spans="1:13" s="79" customFormat="1" ht="17.25" customHeight="1">
      <c r="A278" s="71">
        <v>42376</v>
      </c>
      <c r="B278" s="72" t="s">
        <v>553</v>
      </c>
      <c r="C278" s="72" t="s">
        <v>32</v>
      </c>
      <c r="D278" s="72" t="s">
        <v>575</v>
      </c>
      <c r="E278" s="72" t="s">
        <v>574</v>
      </c>
      <c r="F278" s="98" t="s">
        <v>227</v>
      </c>
      <c r="G278" s="73">
        <v>600</v>
      </c>
      <c r="H278" s="74"/>
      <c r="I278" s="75">
        <f t="shared" si="10"/>
        <v>0</v>
      </c>
      <c r="J278" s="72" t="s">
        <v>232</v>
      </c>
      <c r="K278" s="71">
        <v>42501</v>
      </c>
      <c r="L278" s="72" t="s">
        <v>130</v>
      </c>
      <c r="M278" s="78"/>
    </row>
    <row r="279" spans="1:13" s="79" customFormat="1" ht="17.25" customHeight="1">
      <c r="A279" s="89">
        <v>42339</v>
      </c>
      <c r="B279" s="72" t="s">
        <v>576</v>
      </c>
      <c r="C279" s="72" t="s">
        <v>350</v>
      </c>
      <c r="D279" s="72" t="s">
        <v>577</v>
      </c>
      <c r="E279" s="72" t="s">
        <v>578</v>
      </c>
      <c r="F279" s="72" t="s">
        <v>154</v>
      </c>
      <c r="G279" s="90">
        <v>1024</v>
      </c>
      <c r="H279" s="74">
        <v>2.94</v>
      </c>
      <c r="I279" s="83">
        <f t="shared" ref="I279:I320" si="11">G279*H279</f>
        <v>3010.56</v>
      </c>
      <c r="J279" s="72" t="s">
        <v>155</v>
      </c>
      <c r="K279" s="71">
        <v>42482</v>
      </c>
      <c r="L279" s="72" t="s">
        <v>353</v>
      </c>
      <c r="M279" s="78"/>
    </row>
    <row r="280" spans="1:13" s="79" customFormat="1" ht="17.25" customHeight="1">
      <c r="A280" s="89">
        <v>42339</v>
      </c>
      <c r="B280" s="72" t="s">
        <v>576</v>
      </c>
      <c r="C280" s="72" t="s">
        <v>350</v>
      </c>
      <c r="D280" s="72" t="s">
        <v>579</v>
      </c>
      <c r="E280" s="72" t="s">
        <v>578</v>
      </c>
      <c r="F280" s="72" t="s">
        <v>154</v>
      </c>
      <c r="G280" s="90">
        <v>118624</v>
      </c>
      <c r="H280" s="74">
        <v>2.94</v>
      </c>
      <c r="I280" s="83">
        <f t="shared" si="11"/>
        <v>348754.56</v>
      </c>
      <c r="J280" s="72" t="s">
        <v>155</v>
      </c>
      <c r="K280" s="71">
        <v>42482</v>
      </c>
      <c r="L280" s="72" t="s">
        <v>353</v>
      </c>
      <c r="M280" s="78"/>
    </row>
    <row r="281" spans="1:13" s="79" customFormat="1" ht="17.25" customHeight="1">
      <c r="A281" s="89">
        <v>42415</v>
      </c>
      <c r="B281" s="72" t="s">
        <v>576</v>
      </c>
      <c r="C281" s="72" t="s">
        <v>350</v>
      </c>
      <c r="D281" s="72" t="s">
        <v>580</v>
      </c>
      <c r="E281" s="72" t="s">
        <v>581</v>
      </c>
      <c r="F281" s="72" t="s">
        <v>154</v>
      </c>
      <c r="G281" s="90">
        <v>144</v>
      </c>
      <c r="H281" s="74">
        <v>3.9</v>
      </c>
      <c r="I281" s="83">
        <f t="shared" si="11"/>
        <v>561.6</v>
      </c>
      <c r="J281" s="72" t="s">
        <v>118</v>
      </c>
      <c r="K281" s="71">
        <v>42517</v>
      </c>
      <c r="L281" s="105" t="s">
        <v>130</v>
      </c>
      <c r="M281" s="78"/>
    </row>
    <row r="282" spans="1:13" s="79" customFormat="1" ht="17.25" customHeight="1">
      <c r="A282" s="89">
        <v>42415</v>
      </c>
      <c r="B282" s="72" t="s">
        <v>576</v>
      </c>
      <c r="C282" s="72" t="s">
        <v>350</v>
      </c>
      <c r="D282" s="72" t="s">
        <v>582</v>
      </c>
      <c r="E282" s="72" t="s">
        <v>581</v>
      </c>
      <c r="F282" s="72" t="s">
        <v>154</v>
      </c>
      <c r="G282" s="90">
        <v>1104</v>
      </c>
      <c r="H282" s="74">
        <v>3.9</v>
      </c>
      <c r="I282" s="83">
        <f t="shared" si="11"/>
        <v>4305.5999999999995</v>
      </c>
      <c r="J282" s="72" t="s">
        <v>118</v>
      </c>
      <c r="K282" s="71">
        <v>42517</v>
      </c>
      <c r="L282" s="105" t="s">
        <v>130</v>
      </c>
      <c r="M282" s="78"/>
    </row>
    <row r="283" spans="1:13" s="79" customFormat="1" ht="17.25" customHeight="1">
      <c r="A283" s="89">
        <v>42415</v>
      </c>
      <c r="B283" s="72" t="s">
        <v>576</v>
      </c>
      <c r="C283" s="72" t="s">
        <v>350</v>
      </c>
      <c r="D283" s="72" t="s">
        <v>583</v>
      </c>
      <c r="E283" s="72" t="s">
        <v>581</v>
      </c>
      <c r="F283" s="72" t="s">
        <v>154</v>
      </c>
      <c r="G283" s="90">
        <v>91680</v>
      </c>
      <c r="H283" s="74">
        <v>3.9</v>
      </c>
      <c r="I283" s="83">
        <f t="shared" si="11"/>
        <v>357552</v>
      </c>
      <c r="J283" s="72" t="s">
        <v>118</v>
      </c>
      <c r="K283" s="71">
        <v>42517</v>
      </c>
      <c r="L283" s="105" t="s">
        <v>130</v>
      </c>
      <c r="M283" s="78"/>
    </row>
    <row r="284" spans="1:13" s="79" customFormat="1" ht="17.25" customHeight="1">
      <c r="A284" s="89">
        <v>42415</v>
      </c>
      <c r="B284" s="72" t="s">
        <v>576</v>
      </c>
      <c r="C284" s="72" t="s">
        <v>350</v>
      </c>
      <c r="D284" s="72" t="s">
        <v>584</v>
      </c>
      <c r="E284" s="72" t="s">
        <v>585</v>
      </c>
      <c r="F284" s="72" t="s">
        <v>154</v>
      </c>
      <c r="G284" s="90">
        <v>48</v>
      </c>
      <c r="H284" s="74">
        <v>4</v>
      </c>
      <c r="I284" s="83">
        <f t="shared" si="11"/>
        <v>192</v>
      </c>
      <c r="J284" s="72" t="s">
        <v>118</v>
      </c>
      <c r="K284" s="71">
        <v>42517</v>
      </c>
      <c r="L284" s="105" t="s">
        <v>130</v>
      </c>
      <c r="M284" s="78"/>
    </row>
    <row r="285" spans="1:13" s="79" customFormat="1" ht="17.25" customHeight="1">
      <c r="A285" s="89">
        <v>42415</v>
      </c>
      <c r="B285" s="72" t="s">
        <v>576</v>
      </c>
      <c r="C285" s="72" t="s">
        <v>350</v>
      </c>
      <c r="D285" s="72" t="s">
        <v>586</v>
      </c>
      <c r="E285" s="72" t="s">
        <v>585</v>
      </c>
      <c r="F285" s="72" t="s">
        <v>154</v>
      </c>
      <c r="G285" s="90">
        <v>240</v>
      </c>
      <c r="H285" s="74">
        <v>4</v>
      </c>
      <c r="I285" s="83">
        <f t="shared" si="11"/>
        <v>960</v>
      </c>
      <c r="J285" s="72" t="s">
        <v>118</v>
      </c>
      <c r="K285" s="71">
        <v>42517</v>
      </c>
      <c r="L285" s="105" t="s">
        <v>130</v>
      </c>
      <c r="M285" s="78"/>
    </row>
    <row r="286" spans="1:13" s="79" customFormat="1" ht="17.25" customHeight="1">
      <c r="A286" s="89">
        <v>42415</v>
      </c>
      <c r="B286" s="72" t="s">
        <v>576</v>
      </c>
      <c r="C286" s="72" t="s">
        <v>350</v>
      </c>
      <c r="D286" s="72" t="s">
        <v>587</v>
      </c>
      <c r="E286" s="72" t="s">
        <v>585</v>
      </c>
      <c r="F286" s="72" t="s">
        <v>154</v>
      </c>
      <c r="G286" s="90">
        <v>22816</v>
      </c>
      <c r="H286" s="74">
        <v>4</v>
      </c>
      <c r="I286" s="83">
        <f t="shared" si="11"/>
        <v>91264</v>
      </c>
      <c r="J286" s="72" t="s">
        <v>118</v>
      </c>
      <c r="K286" s="71">
        <v>42517</v>
      </c>
      <c r="L286" s="105" t="s">
        <v>130</v>
      </c>
      <c r="M286" s="78"/>
    </row>
    <row r="287" spans="1:13" s="79" customFormat="1" ht="17.25" customHeight="1">
      <c r="A287" s="89">
        <v>42426</v>
      </c>
      <c r="B287" s="72" t="s">
        <v>576</v>
      </c>
      <c r="C287" s="72" t="s">
        <v>386</v>
      </c>
      <c r="D287" s="72" t="s">
        <v>588</v>
      </c>
      <c r="E287" s="72" t="s">
        <v>589</v>
      </c>
      <c r="F287" s="72" t="s">
        <v>154</v>
      </c>
      <c r="G287" s="90">
        <v>35720</v>
      </c>
      <c r="H287" s="74">
        <v>3.3</v>
      </c>
      <c r="I287" s="83">
        <f t="shared" si="11"/>
        <v>117876</v>
      </c>
      <c r="J287" s="72" t="s">
        <v>165</v>
      </c>
      <c r="K287" s="71">
        <v>42529</v>
      </c>
      <c r="L287" s="105" t="s">
        <v>130</v>
      </c>
      <c r="M287" s="78"/>
    </row>
    <row r="288" spans="1:13" s="79" customFormat="1" ht="17.25" customHeight="1">
      <c r="A288" s="89">
        <v>42426</v>
      </c>
      <c r="B288" s="72" t="s">
        <v>576</v>
      </c>
      <c r="C288" s="72" t="s">
        <v>386</v>
      </c>
      <c r="D288" s="72" t="s">
        <v>590</v>
      </c>
      <c r="E288" s="72" t="s">
        <v>589</v>
      </c>
      <c r="F288" s="72" t="s">
        <v>154</v>
      </c>
      <c r="G288" s="90">
        <v>568</v>
      </c>
      <c r="H288" s="74">
        <v>3.3</v>
      </c>
      <c r="I288" s="83">
        <f t="shared" si="11"/>
        <v>1874.3999999999999</v>
      </c>
      <c r="J288" s="72" t="s">
        <v>165</v>
      </c>
      <c r="K288" s="71">
        <v>42529</v>
      </c>
      <c r="L288" s="105" t="s">
        <v>130</v>
      </c>
      <c r="M288" s="78"/>
    </row>
    <row r="289" spans="1:13" s="79" customFormat="1" ht="17.25" customHeight="1">
      <c r="A289" s="71">
        <v>75198</v>
      </c>
      <c r="B289" s="81" t="s">
        <v>576</v>
      </c>
      <c r="C289" s="82" t="s">
        <v>125</v>
      </c>
      <c r="D289" s="72" t="s">
        <v>591</v>
      </c>
      <c r="E289" s="72" t="s">
        <v>592</v>
      </c>
      <c r="F289" s="72" t="s">
        <v>117</v>
      </c>
      <c r="G289" s="73">
        <v>50639</v>
      </c>
      <c r="H289" s="74">
        <v>6</v>
      </c>
      <c r="I289" s="83">
        <f t="shared" si="11"/>
        <v>303834</v>
      </c>
      <c r="J289" s="84" t="s">
        <v>246</v>
      </c>
      <c r="K289" s="95">
        <v>42461</v>
      </c>
      <c r="L289" s="72" t="s">
        <v>130</v>
      </c>
      <c r="M289" s="78"/>
    </row>
    <row r="290" spans="1:13" s="79" customFormat="1" ht="17.25" customHeight="1">
      <c r="A290" s="71">
        <v>42335</v>
      </c>
      <c r="B290" s="81" t="s">
        <v>576</v>
      </c>
      <c r="C290" s="82" t="s">
        <v>125</v>
      </c>
      <c r="D290" s="72" t="s">
        <v>593</v>
      </c>
      <c r="E290" s="72" t="s">
        <v>592</v>
      </c>
      <c r="F290" s="72" t="s">
        <v>117</v>
      </c>
      <c r="G290" s="73">
        <v>244</v>
      </c>
      <c r="H290" s="74"/>
      <c r="I290" s="83">
        <f t="shared" si="11"/>
        <v>0</v>
      </c>
      <c r="J290" s="84" t="s">
        <v>594</v>
      </c>
      <c r="K290" s="95">
        <v>42461</v>
      </c>
      <c r="L290" s="72" t="s">
        <v>130</v>
      </c>
      <c r="M290" s="78"/>
    </row>
    <row r="291" spans="1:13" s="79" customFormat="1" ht="17.25" customHeight="1">
      <c r="A291" s="71">
        <v>42418</v>
      </c>
      <c r="B291" s="81" t="s">
        <v>576</v>
      </c>
      <c r="C291" s="82" t="s">
        <v>125</v>
      </c>
      <c r="D291" s="72" t="s">
        <v>595</v>
      </c>
      <c r="E291" s="72" t="s">
        <v>596</v>
      </c>
      <c r="F291" s="72" t="s">
        <v>128</v>
      </c>
      <c r="G291" s="86">
        <v>48</v>
      </c>
      <c r="H291" s="74">
        <v>4.4000000000000004</v>
      </c>
      <c r="I291" s="83">
        <f t="shared" si="11"/>
        <v>211.20000000000002</v>
      </c>
      <c r="J291" s="72" t="s">
        <v>296</v>
      </c>
      <c r="K291" s="71">
        <v>42509</v>
      </c>
      <c r="L291" s="72" t="s">
        <v>130</v>
      </c>
      <c r="M291" s="78"/>
    </row>
    <row r="292" spans="1:13" s="79" customFormat="1" ht="17.25" customHeight="1">
      <c r="A292" s="71">
        <v>42418</v>
      </c>
      <c r="B292" s="81" t="s">
        <v>576</v>
      </c>
      <c r="C292" s="82" t="s">
        <v>125</v>
      </c>
      <c r="D292" s="72" t="s">
        <v>597</v>
      </c>
      <c r="E292" s="72" t="s">
        <v>596</v>
      </c>
      <c r="F292" s="72" t="s">
        <v>128</v>
      </c>
      <c r="G292" s="86">
        <v>29172</v>
      </c>
      <c r="H292" s="74">
        <v>4.4000000000000004</v>
      </c>
      <c r="I292" s="83">
        <f t="shared" si="11"/>
        <v>128356.80000000002</v>
      </c>
      <c r="J292" s="72" t="s">
        <v>598</v>
      </c>
      <c r="K292" s="71">
        <v>42529</v>
      </c>
      <c r="L292" s="72" t="s">
        <v>130</v>
      </c>
      <c r="M292" s="78"/>
    </row>
    <row r="293" spans="1:13" s="79" customFormat="1" ht="17.25" customHeight="1">
      <c r="A293" s="71">
        <v>42418</v>
      </c>
      <c r="B293" s="81" t="s">
        <v>576</v>
      </c>
      <c r="C293" s="82" t="s">
        <v>125</v>
      </c>
      <c r="D293" s="72" t="s">
        <v>599</v>
      </c>
      <c r="E293" s="72" t="s">
        <v>596</v>
      </c>
      <c r="F293" s="72" t="s">
        <v>128</v>
      </c>
      <c r="G293" s="86">
        <v>8169</v>
      </c>
      <c r="H293" s="74">
        <v>4.4000000000000004</v>
      </c>
      <c r="I293" s="83">
        <f t="shared" si="11"/>
        <v>35943.600000000006</v>
      </c>
      <c r="J293" s="72" t="s">
        <v>598</v>
      </c>
      <c r="K293" s="71">
        <v>42529</v>
      </c>
      <c r="L293" s="72" t="s">
        <v>130</v>
      </c>
      <c r="M293" s="78"/>
    </row>
    <row r="294" spans="1:13" s="79" customFormat="1" ht="17.25" customHeight="1">
      <c r="A294" s="71">
        <v>42418</v>
      </c>
      <c r="B294" s="81" t="s">
        <v>576</v>
      </c>
      <c r="C294" s="82" t="s">
        <v>125</v>
      </c>
      <c r="D294" s="72" t="s">
        <v>600</v>
      </c>
      <c r="E294" s="72" t="s">
        <v>596</v>
      </c>
      <c r="F294" s="72" t="s">
        <v>128</v>
      </c>
      <c r="G294" s="86">
        <v>6127</v>
      </c>
      <c r="H294" s="74">
        <v>4.4000000000000004</v>
      </c>
      <c r="I294" s="83">
        <f t="shared" si="11"/>
        <v>26958.800000000003</v>
      </c>
      <c r="J294" s="72" t="s">
        <v>598</v>
      </c>
      <c r="K294" s="71">
        <v>42529</v>
      </c>
      <c r="L294" s="72" t="s">
        <v>130</v>
      </c>
      <c r="M294" s="78"/>
    </row>
    <row r="295" spans="1:13" s="79" customFormat="1" ht="17.25" customHeight="1">
      <c r="A295" s="71">
        <v>42418</v>
      </c>
      <c r="B295" s="81" t="s">
        <v>576</v>
      </c>
      <c r="C295" s="82" t="s">
        <v>125</v>
      </c>
      <c r="D295" s="72" t="s">
        <v>601</v>
      </c>
      <c r="E295" s="72" t="s">
        <v>596</v>
      </c>
      <c r="F295" s="72" t="s">
        <v>128</v>
      </c>
      <c r="G295" s="86">
        <v>1304</v>
      </c>
      <c r="H295" s="74">
        <v>4.3</v>
      </c>
      <c r="I295" s="83">
        <f t="shared" si="11"/>
        <v>5607.2</v>
      </c>
      <c r="J295" s="72" t="s">
        <v>598</v>
      </c>
      <c r="K295" s="71">
        <v>42529</v>
      </c>
      <c r="L295" s="72" t="s">
        <v>130</v>
      </c>
      <c r="M295" s="78"/>
    </row>
    <row r="296" spans="1:13" s="79" customFormat="1" ht="17.25" customHeight="1">
      <c r="A296" s="71">
        <v>42418</v>
      </c>
      <c r="B296" s="81" t="s">
        <v>576</v>
      </c>
      <c r="C296" s="82" t="s">
        <v>125</v>
      </c>
      <c r="D296" s="72" t="s">
        <v>602</v>
      </c>
      <c r="E296" s="72" t="s">
        <v>603</v>
      </c>
      <c r="F296" s="72" t="s">
        <v>128</v>
      </c>
      <c r="G296" s="86">
        <v>847</v>
      </c>
      <c r="H296" s="74"/>
      <c r="I296" s="83">
        <f t="shared" si="11"/>
        <v>0</v>
      </c>
      <c r="J296" s="72" t="s">
        <v>598</v>
      </c>
      <c r="K296" s="71">
        <v>42529</v>
      </c>
      <c r="L296" s="72" t="s">
        <v>130</v>
      </c>
      <c r="M296" s="78"/>
    </row>
    <row r="297" spans="1:13" s="79" customFormat="1" ht="17.25" customHeight="1">
      <c r="A297" s="71">
        <v>42320</v>
      </c>
      <c r="B297" s="72" t="s">
        <v>576</v>
      </c>
      <c r="C297" s="72" t="s">
        <v>30</v>
      </c>
      <c r="D297" s="72" t="s">
        <v>604</v>
      </c>
      <c r="E297" s="72" t="s">
        <v>605</v>
      </c>
      <c r="F297" s="98" t="s">
        <v>117</v>
      </c>
      <c r="G297" s="73">
        <v>99735</v>
      </c>
      <c r="H297" s="74"/>
      <c r="I297" s="75">
        <f t="shared" si="11"/>
        <v>0</v>
      </c>
      <c r="J297" s="72" t="s">
        <v>174</v>
      </c>
      <c r="K297" s="116">
        <v>42466</v>
      </c>
      <c r="L297" s="72" t="s">
        <v>130</v>
      </c>
      <c r="M297" s="78"/>
    </row>
    <row r="298" spans="1:13" s="79" customFormat="1" ht="17.25" customHeight="1">
      <c r="A298" s="71">
        <v>42328</v>
      </c>
      <c r="B298" s="72" t="s">
        <v>576</v>
      </c>
      <c r="C298" s="72" t="s">
        <v>30</v>
      </c>
      <c r="D298" s="72" t="s">
        <v>606</v>
      </c>
      <c r="E298" s="72" t="s">
        <v>607</v>
      </c>
      <c r="F298" s="98" t="s">
        <v>154</v>
      </c>
      <c r="G298" s="73">
        <v>624</v>
      </c>
      <c r="H298" s="74">
        <v>4.0999999999999996</v>
      </c>
      <c r="I298" s="75">
        <f t="shared" si="11"/>
        <v>2558.3999999999996</v>
      </c>
      <c r="J298" s="72" t="s">
        <v>543</v>
      </c>
      <c r="K298" s="116">
        <v>42445</v>
      </c>
      <c r="L298" s="72" t="s">
        <v>130</v>
      </c>
      <c r="M298" s="78"/>
    </row>
    <row r="299" spans="1:13" s="79" customFormat="1" ht="17.25" customHeight="1">
      <c r="A299" s="71">
        <v>42328</v>
      </c>
      <c r="B299" s="72" t="s">
        <v>576</v>
      </c>
      <c r="C299" s="72" t="s">
        <v>30</v>
      </c>
      <c r="D299" s="72" t="s">
        <v>608</v>
      </c>
      <c r="E299" s="72" t="s">
        <v>607</v>
      </c>
      <c r="F299" s="98" t="s">
        <v>154</v>
      </c>
      <c r="G299" s="73">
        <v>60408</v>
      </c>
      <c r="H299" s="74">
        <v>4.0999999999999996</v>
      </c>
      <c r="I299" s="75">
        <f t="shared" si="11"/>
        <v>247672.8</v>
      </c>
      <c r="J299" s="72" t="s">
        <v>174</v>
      </c>
      <c r="K299" s="71">
        <v>42466</v>
      </c>
      <c r="L299" s="72" t="s">
        <v>130</v>
      </c>
      <c r="M299" s="78"/>
    </row>
    <row r="300" spans="1:13" s="79" customFormat="1" ht="17.25" customHeight="1">
      <c r="A300" s="71">
        <v>42377</v>
      </c>
      <c r="B300" s="72" t="s">
        <v>576</v>
      </c>
      <c r="C300" s="72" t="s">
        <v>31</v>
      </c>
      <c r="D300" s="72" t="s">
        <v>609</v>
      </c>
      <c r="E300" s="72" t="s">
        <v>610</v>
      </c>
      <c r="F300" s="98" t="s">
        <v>154</v>
      </c>
      <c r="G300" s="73">
        <v>80</v>
      </c>
      <c r="H300" s="74">
        <v>3.1</v>
      </c>
      <c r="I300" s="75">
        <f t="shared" si="11"/>
        <v>248</v>
      </c>
      <c r="J300" s="72" t="s">
        <v>254</v>
      </c>
      <c r="K300" s="71">
        <v>42487</v>
      </c>
      <c r="L300" s="72" t="s">
        <v>130</v>
      </c>
      <c r="M300" s="78"/>
    </row>
    <row r="301" spans="1:13" s="79" customFormat="1" ht="17.25" customHeight="1">
      <c r="A301" s="71">
        <v>42377</v>
      </c>
      <c r="B301" s="72" t="s">
        <v>576</v>
      </c>
      <c r="C301" s="72" t="s">
        <v>31</v>
      </c>
      <c r="D301" s="72" t="s">
        <v>609</v>
      </c>
      <c r="E301" s="72" t="s">
        <v>611</v>
      </c>
      <c r="F301" s="98" t="s">
        <v>154</v>
      </c>
      <c r="G301" s="73">
        <v>104</v>
      </c>
      <c r="H301" s="74">
        <v>3.1</v>
      </c>
      <c r="I301" s="75">
        <f t="shared" si="11"/>
        <v>322.40000000000003</v>
      </c>
      <c r="J301" s="72" t="s">
        <v>254</v>
      </c>
      <c r="K301" s="71">
        <v>42487</v>
      </c>
      <c r="L301" s="72" t="s">
        <v>130</v>
      </c>
      <c r="M301" s="78"/>
    </row>
    <row r="302" spans="1:13" s="79" customFormat="1" ht="17.25" customHeight="1">
      <c r="A302" s="71">
        <v>42377</v>
      </c>
      <c r="B302" s="72" t="s">
        <v>576</v>
      </c>
      <c r="C302" s="72" t="s">
        <v>31</v>
      </c>
      <c r="D302" s="72" t="s">
        <v>609</v>
      </c>
      <c r="E302" s="72" t="s">
        <v>612</v>
      </c>
      <c r="F302" s="98" t="s">
        <v>154</v>
      </c>
      <c r="G302" s="73">
        <v>104</v>
      </c>
      <c r="H302" s="74">
        <v>3.1</v>
      </c>
      <c r="I302" s="75">
        <f t="shared" si="11"/>
        <v>322.40000000000003</v>
      </c>
      <c r="J302" s="72" t="s">
        <v>254</v>
      </c>
      <c r="K302" s="71">
        <v>42487</v>
      </c>
      <c r="L302" s="72" t="s">
        <v>130</v>
      </c>
      <c r="M302" s="78"/>
    </row>
    <row r="303" spans="1:13" s="79" customFormat="1" ht="17.25" customHeight="1">
      <c r="A303" s="71">
        <v>42377</v>
      </c>
      <c r="B303" s="72" t="s">
        <v>576</v>
      </c>
      <c r="C303" s="72" t="s">
        <v>31</v>
      </c>
      <c r="D303" s="72" t="s">
        <v>609</v>
      </c>
      <c r="E303" s="72" t="s">
        <v>613</v>
      </c>
      <c r="F303" s="98" t="s">
        <v>154</v>
      </c>
      <c r="G303" s="73">
        <v>104</v>
      </c>
      <c r="H303" s="74">
        <v>3.1</v>
      </c>
      <c r="I303" s="75">
        <f t="shared" si="11"/>
        <v>322.40000000000003</v>
      </c>
      <c r="J303" s="72" t="s">
        <v>254</v>
      </c>
      <c r="K303" s="71">
        <v>42487</v>
      </c>
      <c r="L303" s="72" t="s">
        <v>130</v>
      </c>
      <c r="M303" s="78"/>
    </row>
    <row r="304" spans="1:13" s="79" customFormat="1" ht="17.25" customHeight="1">
      <c r="A304" s="71">
        <v>42377</v>
      </c>
      <c r="B304" s="72" t="s">
        <v>576</v>
      </c>
      <c r="C304" s="72" t="s">
        <v>31</v>
      </c>
      <c r="D304" s="72" t="s">
        <v>614</v>
      </c>
      <c r="E304" s="72" t="s">
        <v>610</v>
      </c>
      <c r="F304" s="98" t="s">
        <v>154</v>
      </c>
      <c r="G304" s="73">
        <v>9464</v>
      </c>
      <c r="H304" s="74">
        <v>3.1</v>
      </c>
      <c r="I304" s="75">
        <f t="shared" si="11"/>
        <v>29338.400000000001</v>
      </c>
      <c r="J304" s="72" t="s">
        <v>136</v>
      </c>
      <c r="K304" s="71">
        <v>42494</v>
      </c>
      <c r="L304" s="72" t="s">
        <v>130</v>
      </c>
      <c r="M304" s="78"/>
    </row>
    <row r="305" spans="1:13" s="79" customFormat="1" ht="17.25" customHeight="1">
      <c r="A305" s="71">
        <v>42377</v>
      </c>
      <c r="B305" s="72" t="s">
        <v>576</v>
      </c>
      <c r="C305" s="72" t="s">
        <v>31</v>
      </c>
      <c r="D305" s="72" t="s">
        <v>614</v>
      </c>
      <c r="E305" s="72" t="s">
        <v>611</v>
      </c>
      <c r="F305" s="98" t="s">
        <v>154</v>
      </c>
      <c r="G305" s="73">
        <v>11184</v>
      </c>
      <c r="H305" s="74">
        <v>3.1</v>
      </c>
      <c r="I305" s="75">
        <f t="shared" si="11"/>
        <v>34670.400000000001</v>
      </c>
      <c r="J305" s="72" t="s">
        <v>136</v>
      </c>
      <c r="K305" s="71">
        <v>42494</v>
      </c>
      <c r="L305" s="72" t="s">
        <v>130</v>
      </c>
      <c r="M305" s="78"/>
    </row>
    <row r="306" spans="1:13" s="79" customFormat="1" ht="17.25" customHeight="1">
      <c r="A306" s="71">
        <v>42377</v>
      </c>
      <c r="B306" s="72" t="s">
        <v>576</v>
      </c>
      <c r="C306" s="72" t="s">
        <v>31</v>
      </c>
      <c r="D306" s="72" t="s">
        <v>614</v>
      </c>
      <c r="E306" s="72" t="s">
        <v>612</v>
      </c>
      <c r="F306" s="98" t="s">
        <v>154</v>
      </c>
      <c r="G306" s="73">
        <v>11184</v>
      </c>
      <c r="H306" s="74">
        <v>3.1</v>
      </c>
      <c r="I306" s="75">
        <f t="shared" si="11"/>
        <v>34670.400000000001</v>
      </c>
      <c r="J306" s="72" t="s">
        <v>136</v>
      </c>
      <c r="K306" s="71">
        <v>42494</v>
      </c>
      <c r="L306" s="72" t="s">
        <v>130</v>
      </c>
      <c r="M306" s="78"/>
    </row>
    <row r="307" spans="1:13" s="79" customFormat="1" ht="17.25" customHeight="1">
      <c r="A307" s="71">
        <v>42377</v>
      </c>
      <c r="B307" s="72" t="s">
        <v>576</v>
      </c>
      <c r="C307" s="72" t="s">
        <v>31</v>
      </c>
      <c r="D307" s="72" t="s">
        <v>614</v>
      </c>
      <c r="E307" s="72" t="s">
        <v>613</v>
      </c>
      <c r="F307" s="98" t="s">
        <v>154</v>
      </c>
      <c r="G307" s="73">
        <v>11184</v>
      </c>
      <c r="H307" s="74">
        <v>3.1</v>
      </c>
      <c r="I307" s="75">
        <f t="shared" si="11"/>
        <v>34670.400000000001</v>
      </c>
      <c r="J307" s="72" t="s">
        <v>136</v>
      </c>
      <c r="K307" s="71">
        <v>42494</v>
      </c>
      <c r="L307" s="72" t="s">
        <v>130</v>
      </c>
      <c r="M307" s="78"/>
    </row>
    <row r="308" spans="1:13" s="79" customFormat="1" ht="17.25" customHeight="1">
      <c r="A308" s="71">
        <v>42398</v>
      </c>
      <c r="B308" s="72" t="s">
        <v>576</v>
      </c>
      <c r="C308" s="72" t="s">
        <v>31</v>
      </c>
      <c r="D308" s="72" t="s">
        <v>615</v>
      </c>
      <c r="E308" s="72" t="s">
        <v>616</v>
      </c>
      <c r="F308" s="98" t="s">
        <v>128</v>
      </c>
      <c r="G308" s="73">
        <v>53262</v>
      </c>
      <c r="H308" s="74">
        <v>5.6</v>
      </c>
      <c r="I308" s="75">
        <f t="shared" si="11"/>
        <v>298267.19999999995</v>
      </c>
      <c r="J308" s="71">
        <v>42520</v>
      </c>
      <c r="K308" s="71">
        <v>42537</v>
      </c>
      <c r="L308" s="72" t="s">
        <v>130</v>
      </c>
      <c r="M308" s="78"/>
    </row>
    <row r="309" spans="1:13" s="79" customFormat="1" ht="17.25" customHeight="1">
      <c r="A309" s="71">
        <v>42398</v>
      </c>
      <c r="B309" s="72" t="s">
        <v>576</v>
      </c>
      <c r="C309" s="72" t="s">
        <v>31</v>
      </c>
      <c r="D309" s="72" t="s">
        <v>617</v>
      </c>
      <c r="E309" s="72" t="s">
        <v>616</v>
      </c>
      <c r="F309" s="98" t="s">
        <v>128</v>
      </c>
      <c r="G309" s="73">
        <v>60</v>
      </c>
      <c r="H309" s="74"/>
      <c r="I309" s="75">
        <f t="shared" si="11"/>
        <v>0</v>
      </c>
      <c r="J309" s="71">
        <v>42508</v>
      </c>
      <c r="K309" s="71">
        <v>42515</v>
      </c>
      <c r="L309" s="72" t="s">
        <v>130</v>
      </c>
      <c r="M309" s="78"/>
    </row>
    <row r="310" spans="1:13" s="79" customFormat="1" ht="17.25" customHeight="1">
      <c r="A310" s="71">
        <v>42398</v>
      </c>
      <c r="B310" s="72" t="s">
        <v>576</v>
      </c>
      <c r="C310" s="72" t="s">
        <v>31</v>
      </c>
      <c r="D310" s="72" t="s">
        <v>618</v>
      </c>
      <c r="E310" s="72" t="s">
        <v>616</v>
      </c>
      <c r="F310" s="98" t="s">
        <v>128</v>
      </c>
      <c r="G310" s="73">
        <v>4142</v>
      </c>
      <c r="H310" s="74">
        <v>5.6</v>
      </c>
      <c r="I310" s="75">
        <f t="shared" si="11"/>
        <v>23195.199999999997</v>
      </c>
      <c r="J310" s="71">
        <v>42520</v>
      </c>
      <c r="K310" s="71">
        <v>42537</v>
      </c>
      <c r="L310" s="72" t="s">
        <v>130</v>
      </c>
      <c r="M310" s="78"/>
    </row>
    <row r="311" spans="1:13" s="79" customFormat="1" ht="17.25" customHeight="1">
      <c r="A311" s="71">
        <v>42398</v>
      </c>
      <c r="B311" s="72" t="s">
        <v>576</v>
      </c>
      <c r="C311" s="72" t="s">
        <v>31</v>
      </c>
      <c r="D311" s="72" t="s">
        <v>619</v>
      </c>
      <c r="E311" s="72" t="s">
        <v>616</v>
      </c>
      <c r="F311" s="98" t="s">
        <v>128</v>
      </c>
      <c r="G311" s="73">
        <v>6704</v>
      </c>
      <c r="H311" s="74">
        <v>5.6</v>
      </c>
      <c r="I311" s="75">
        <f t="shared" si="11"/>
        <v>37542.399999999994</v>
      </c>
      <c r="J311" s="71">
        <v>42520</v>
      </c>
      <c r="K311" s="71">
        <v>42537</v>
      </c>
      <c r="L311" s="72" t="s">
        <v>130</v>
      </c>
      <c r="M311" s="78"/>
    </row>
    <row r="312" spans="1:13" s="79" customFormat="1" ht="17.25" customHeight="1">
      <c r="A312" s="71">
        <v>42398</v>
      </c>
      <c r="B312" s="72" t="s">
        <v>576</v>
      </c>
      <c r="C312" s="72" t="s">
        <v>31</v>
      </c>
      <c r="D312" s="72" t="s">
        <v>620</v>
      </c>
      <c r="E312" s="72" t="s">
        <v>616</v>
      </c>
      <c r="F312" s="98" t="s">
        <v>128</v>
      </c>
      <c r="G312" s="73">
        <v>824</v>
      </c>
      <c r="H312" s="74">
        <v>5.6</v>
      </c>
      <c r="I312" s="75">
        <f t="shared" si="11"/>
        <v>4614.3999999999996</v>
      </c>
      <c r="J312" s="71">
        <v>42520</v>
      </c>
      <c r="K312" s="71">
        <v>42537</v>
      </c>
      <c r="L312" s="72" t="s">
        <v>130</v>
      </c>
      <c r="M312" s="78"/>
    </row>
    <row r="313" spans="1:13" s="79" customFormat="1" ht="17.25" customHeight="1">
      <c r="A313" s="71">
        <v>42398</v>
      </c>
      <c r="B313" s="72" t="s">
        <v>576</v>
      </c>
      <c r="C313" s="72" t="s">
        <v>31</v>
      </c>
      <c r="D313" s="72" t="s">
        <v>621</v>
      </c>
      <c r="E313" s="72" t="s">
        <v>616</v>
      </c>
      <c r="F313" s="98" t="s">
        <v>128</v>
      </c>
      <c r="G313" s="73">
        <v>456</v>
      </c>
      <c r="H313" s="74">
        <v>5.6</v>
      </c>
      <c r="I313" s="75">
        <f t="shared" si="11"/>
        <v>2553.6</v>
      </c>
      <c r="J313" s="71">
        <v>42520</v>
      </c>
      <c r="K313" s="71">
        <v>42537</v>
      </c>
      <c r="L313" s="72" t="s">
        <v>130</v>
      </c>
      <c r="M313" s="78"/>
    </row>
    <row r="314" spans="1:13" s="79" customFormat="1" ht="17.25" customHeight="1">
      <c r="A314" s="71">
        <v>42430</v>
      </c>
      <c r="B314" s="72" t="s">
        <v>576</v>
      </c>
      <c r="C314" s="72" t="s">
        <v>31</v>
      </c>
      <c r="D314" s="72" t="s">
        <v>622</v>
      </c>
      <c r="E314" s="72" t="s">
        <v>623</v>
      </c>
      <c r="F314" s="72" t="s">
        <v>117</v>
      </c>
      <c r="G314" s="73">
        <v>17200</v>
      </c>
      <c r="H314" s="74">
        <v>4.8499999999999996</v>
      </c>
      <c r="I314" s="83">
        <f t="shared" si="11"/>
        <v>83420</v>
      </c>
      <c r="J314" s="71">
        <v>42527</v>
      </c>
      <c r="K314" s="71">
        <v>42543</v>
      </c>
      <c r="L314" s="72" t="s">
        <v>130</v>
      </c>
      <c r="M314" s="78"/>
    </row>
    <row r="315" spans="1:13" s="79" customFormat="1" ht="17.25" customHeight="1">
      <c r="A315" s="71">
        <v>42431</v>
      </c>
      <c r="B315" s="72" t="s">
        <v>576</v>
      </c>
      <c r="C315" s="72" t="s">
        <v>30</v>
      </c>
      <c r="D315" s="72" t="s">
        <v>426</v>
      </c>
      <c r="E315" s="72" t="s">
        <v>624</v>
      </c>
      <c r="F315" s="72" t="s">
        <v>154</v>
      </c>
      <c r="G315" s="73">
        <v>75600</v>
      </c>
      <c r="H315" s="74">
        <v>4.05</v>
      </c>
      <c r="I315" s="83">
        <f t="shared" si="11"/>
        <v>306180</v>
      </c>
      <c r="J315" s="71">
        <v>42513</v>
      </c>
      <c r="K315" s="71">
        <v>42529</v>
      </c>
      <c r="L315" s="72" t="s">
        <v>130</v>
      </c>
      <c r="M315" s="78"/>
    </row>
    <row r="316" spans="1:13" s="79" customFormat="1" ht="17.25" customHeight="1">
      <c r="A316" s="71">
        <v>42432</v>
      </c>
      <c r="B316" s="72" t="s">
        <v>576</v>
      </c>
      <c r="C316" s="72" t="s">
        <v>31</v>
      </c>
      <c r="D316" s="72" t="s">
        <v>625</v>
      </c>
      <c r="E316" s="72" t="s">
        <v>626</v>
      </c>
      <c r="F316" s="72" t="s">
        <v>117</v>
      </c>
      <c r="G316" s="73">
        <v>18200</v>
      </c>
      <c r="H316" s="74">
        <v>4.9800000000000004</v>
      </c>
      <c r="I316" s="83">
        <f t="shared" si="11"/>
        <v>90636.000000000015</v>
      </c>
      <c r="J316" s="71">
        <v>42548</v>
      </c>
      <c r="K316" s="71">
        <v>42564</v>
      </c>
      <c r="L316" s="72" t="s">
        <v>119</v>
      </c>
      <c r="M316" s="78"/>
    </row>
    <row r="317" spans="1:13" s="79" customFormat="1" ht="17.25" customHeight="1">
      <c r="A317" s="71">
        <v>42363</v>
      </c>
      <c r="B317" s="72" t="s">
        <v>576</v>
      </c>
      <c r="C317" s="72" t="s">
        <v>26</v>
      </c>
      <c r="D317" s="100" t="s">
        <v>627</v>
      </c>
      <c r="E317" s="72" t="s">
        <v>628</v>
      </c>
      <c r="F317" s="72" t="s">
        <v>154</v>
      </c>
      <c r="G317" s="90">
        <v>192</v>
      </c>
      <c r="H317" s="74">
        <v>2.95</v>
      </c>
      <c r="I317" s="83">
        <f t="shared" si="11"/>
        <v>566.40000000000009</v>
      </c>
      <c r="J317" s="72" t="s">
        <v>254</v>
      </c>
      <c r="K317" s="71">
        <v>42494</v>
      </c>
      <c r="L317" s="72" t="s">
        <v>130</v>
      </c>
      <c r="M317" s="78"/>
    </row>
    <row r="318" spans="1:13" s="79" customFormat="1" ht="17.25" customHeight="1">
      <c r="A318" s="71">
        <v>42376</v>
      </c>
      <c r="B318" s="72" t="s">
        <v>576</v>
      </c>
      <c r="C318" s="72" t="s">
        <v>26</v>
      </c>
      <c r="D318" s="100" t="s">
        <v>629</v>
      </c>
      <c r="E318" s="72" t="s">
        <v>628</v>
      </c>
      <c r="F318" s="72" t="s">
        <v>154</v>
      </c>
      <c r="G318" s="90">
        <v>712</v>
      </c>
      <c r="H318" s="74">
        <v>2.95</v>
      </c>
      <c r="I318" s="83">
        <f t="shared" si="11"/>
        <v>2100.4</v>
      </c>
      <c r="J318" s="72" t="s">
        <v>254</v>
      </c>
      <c r="K318" s="71">
        <v>42494</v>
      </c>
      <c r="L318" s="72" t="s">
        <v>130</v>
      </c>
      <c r="M318" s="78"/>
    </row>
    <row r="319" spans="1:13" s="79" customFormat="1" ht="17.25" customHeight="1">
      <c r="A319" s="71">
        <v>42376</v>
      </c>
      <c r="B319" s="72" t="s">
        <v>576</v>
      </c>
      <c r="C319" s="72" t="s">
        <v>26</v>
      </c>
      <c r="D319" s="100" t="s">
        <v>630</v>
      </c>
      <c r="E319" s="72" t="s">
        <v>628</v>
      </c>
      <c r="F319" s="72" t="s">
        <v>154</v>
      </c>
      <c r="G319" s="90">
        <v>61552</v>
      </c>
      <c r="H319" s="74">
        <v>2.95</v>
      </c>
      <c r="I319" s="83">
        <f t="shared" si="11"/>
        <v>181578.40000000002</v>
      </c>
      <c r="J319" s="72" t="s">
        <v>254</v>
      </c>
      <c r="K319" s="71">
        <v>42494</v>
      </c>
      <c r="L319" s="72" t="s">
        <v>130</v>
      </c>
      <c r="M319" s="78"/>
    </row>
    <row r="320" spans="1:13" s="79" customFormat="1" ht="17.25" customHeight="1">
      <c r="A320" s="71">
        <v>42396</v>
      </c>
      <c r="B320" s="72" t="s">
        <v>576</v>
      </c>
      <c r="C320" s="72" t="s">
        <v>26</v>
      </c>
      <c r="D320" s="100" t="s">
        <v>631</v>
      </c>
      <c r="E320" s="72" t="s">
        <v>628</v>
      </c>
      <c r="F320" s="72" t="s">
        <v>278</v>
      </c>
      <c r="G320" s="90">
        <v>888</v>
      </c>
      <c r="H320" s="74">
        <v>2.7</v>
      </c>
      <c r="I320" s="83">
        <f t="shared" si="11"/>
        <v>2397.6000000000004</v>
      </c>
      <c r="J320" s="72" t="s">
        <v>254</v>
      </c>
      <c r="K320" s="71">
        <v>42494</v>
      </c>
      <c r="L320" s="72" t="s">
        <v>130</v>
      </c>
      <c r="M320" s="78"/>
    </row>
    <row r="321" spans="1:13" s="79" customFormat="1" ht="17.25" customHeight="1">
      <c r="A321" s="71">
        <v>42420</v>
      </c>
      <c r="B321" s="72" t="s">
        <v>632</v>
      </c>
      <c r="C321" s="72" t="s">
        <v>31</v>
      </c>
      <c r="D321" s="72" t="s">
        <v>633</v>
      </c>
      <c r="E321" s="72" t="s">
        <v>634</v>
      </c>
      <c r="F321" s="98" t="s">
        <v>128</v>
      </c>
      <c r="G321" s="73">
        <v>11190</v>
      </c>
      <c r="H321" s="74">
        <v>6.2</v>
      </c>
      <c r="I321" s="75">
        <f>G321*H321</f>
        <v>69378</v>
      </c>
      <c r="J321" s="71">
        <v>42548</v>
      </c>
      <c r="K321" s="71">
        <v>42564</v>
      </c>
      <c r="L321" s="72" t="s">
        <v>130</v>
      </c>
      <c r="M321" s="78"/>
    </row>
    <row r="322" spans="1:13" s="79" customFormat="1" ht="17.25" customHeight="1">
      <c r="A322" s="71">
        <v>42420</v>
      </c>
      <c r="B322" s="72" t="s">
        <v>632</v>
      </c>
      <c r="C322" s="72" t="s">
        <v>31</v>
      </c>
      <c r="D322" s="72" t="s">
        <v>635</v>
      </c>
      <c r="E322" s="72" t="s">
        <v>634</v>
      </c>
      <c r="F322" s="98" t="s">
        <v>128</v>
      </c>
      <c r="G322" s="73">
        <v>18</v>
      </c>
      <c r="H322" s="74">
        <v>6.2</v>
      </c>
      <c r="I322" s="75">
        <f>G322*H322</f>
        <v>111.60000000000001</v>
      </c>
      <c r="J322" s="71">
        <v>42534</v>
      </c>
      <c r="K322" s="71">
        <v>42541</v>
      </c>
      <c r="L322" s="72" t="s">
        <v>130</v>
      </c>
      <c r="M322" s="78"/>
    </row>
    <row r="323" spans="1:13" s="79" customFormat="1" ht="17.25" customHeight="1">
      <c r="A323" s="71">
        <v>42420</v>
      </c>
      <c r="B323" s="72" t="s">
        <v>632</v>
      </c>
      <c r="C323" s="72" t="s">
        <v>31</v>
      </c>
      <c r="D323" s="72" t="s">
        <v>636</v>
      </c>
      <c r="E323" s="72" t="s">
        <v>634</v>
      </c>
      <c r="F323" s="98" t="s">
        <v>128</v>
      </c>
      <c r="G323" s="73">
        <v>1632</v>
      </c>
      <c r="H323" s="74">
        <v>6.2</v>
      </c>
      <c r="I323" s="75">
        <f>G323*H323</f>
        <v>10118.4</v>
      </c>
      <c r="J323" s="71">
        <v>42548</v>
      </c>
      <c r="K323" s="71">
        <v>42564</v>
      </c>
      <c r="L323" s="72" t="s">
        <v>130</v>
      </c>
      <c r="M323" s="78"/>
    </row>
    <row r="324" spans="1:13" s="79" customFormat="1" ht="17.25" customHeight="1">
      <c r="A324" s="89">
        <v>42426</v>
      </c>
      <c r="B324" s="72" t="s">
        <v>637</v>
      </c>
      <c r="C324" s="72" t="s">
        <v>386</v>
      </c>
      <c r="D324" s="72" t="s">
        <v>638</v>
      </c>
      <c r="E324" s="72" t="s">
        <v>639</v>
      </c>
      <c r="F324" s="72" t="s">
        <v>154</v>
      </c>
      <c r="G324" s="90">
        <v>40888</v>
      </c>
      <c r="H324" s="74">
        <v>4.8499999999999996</v>
      </c>
      <c r="I324" s="83">
        <f>G324*H324</f>
        <v>198306.8</v>
      </c>
      <c r="J324" s="72" t="s">
        <v>165</v>
      </c>
      <c r="K324" s="71">
        <v>42529</v>
      </c>
      <c r="L324" s="105" t="s">
        <v>130</v>
      </c>
      <c r="M324" s="78"/>
    </row>
    <row r="325" spans="1:13" s="79" customFormat="1" ht="17.25" customHeight="1">
      <c r="A325" s="89">
        <v>42426</v>
      </c>
      <c r="B325" s="72" t="s">
        <v>637</v>
      </c>
      <c r="C325" s="72" t="s">
        <v>386</v>
      </c>
      <c r="D325" s="72" t="s">
        <v>640</v>
      </c>
      <c r="E325" s="72" t="s">
        <v>639</v>
      </c>
      <c r="F325" s="72" t="s">
        <v>154</v>
      </c>
      <c r="G325" s="90">
        <v>816</v>
      </c>
      <c r="H325" s="74">
        <v>4.8499999999999996</v>
      </c>
      <c r="I325" s="83">
        <f>G325*H325</f>
        <v>3957.6</v>
      </c>
      <c r="J325" s="72" t="s">
        <v>165</v>
      </c>
      <c r="K325" s="71">
        <v>42529</v>
      </c>
      <c r="L325" s="105" t="s">
        <v>130</v>
      </c>
      <c r="M325" s="78"/>
    </row>
    <row r="326" spans="1:13" s="79" customFormat="1" ht="17.25" customHeight="1">
      <c r="A326" s="71">
        <v>42333</v>
      </c>
      <c r="B326" s="72" t="s">
        <v>641</v>
      </c>
      <c r="C326" s="72" t="s">
        <v>23</v>
      </c>
      <c r="D326" s="72" t="s">
        <v>642</v>
      </c>
      <c r="E326" s="72" t="s">
        <v>643</v>
      </c>
      <c r="F326" s="72" t="s">
        <v>117</v>
      </c>
      <c r="G326" s="73">
        <v>28621</v>
      </c>
      <c r="H326" s="74">
        <v>7</v>
      </c>
      <c r="I326" s="75">
        <f t="shared" ref="I326:I371" si="12">G326*H326</f>
        <v>200347</v>
      </c>
      <c r="J326" s="72" t="s">
        <v>171</v>
      </c>
      <c r="K326" s="71">
        <v>42466</v>
      </c>
      <c r="L326" s="72" t="s">
        <v>119</v>
      </c>
      <c r="M326" s="78"/>
    </row>
    <row r="327" spans="1:13" s="79" customFormat="1" ht="17.25" customHeight="1">
      <c r="A327" s="71">
        <v>42355</v>
      </c>
      <c r="B327" s="72" t="s">
        <v>641</v>
      </c>
      <c r="C327" s="72" t="s">
        <v>23</v>
      </c>
      <c r="D327" s="72" t="s">
        <v>644</v>
      </c>
      <c r="E327" s="72" t="s">
        <v>643</v>
      </c>
      <c r="F327" s="72" t="s">
        <v>199</v>
      </c>
      <c r="G327" s="73">
        <v>204</v>
      </c>
      <c r="H327" s="74">
        <v>6.8</v>
      </c>
      <c r="I327" s="75">
        <f t="shared" si="12"/>
        <v>1387.2</v>
      </c>
      <c r="J327" s="72" t="s">
        <v>171</v>
      </c>
      <c r="K327" s="71">
        <v>42466</v>
      </c>
      <c r="L327" s="72" t="s">
        <v>119</v>
      </c>
      <c r="M327" s="78"/>
    </row>
    <row r="328" spans="1:13" s="79" customFormat="1" ht="17.25" customHeight="1">
      <c r="A328" s="71">
        <v>42346</v>
      </c>
      <c r="B328" s="72" t="s">
        <v>641</v>
      </c>
      <c r="C328" s="72" t="s">
        <v>23</v>
      </c>
      <c r="D328" s="72" t="s">
        <v>645</v>
      </c>
      <c r="E328" s="72" t="s">
        <v>643</v>
      </c>
      <c r="F328" s="72" t="s">
        <v>646</v>
      </c>
      <c r="G328" s="73">
        <v>12</v>
      </c>
      <c r="H328" s="74">
        <v>6.8</v>
      </c>
      <c r="I328" s="75">
        <f t="shared" si="12"/>
        <v>81.599999999999994</v>
      </c>
      <c r="J328" s="72" t="s">
        <v>171</v>
      </c>
      <c r="K328" s="71">
        <v>42466</v>
      </c>
      <c r="L328" s="72" t="s">
        <v>119</v>
      </c>
      <c r="M328" s="78"/>
    </row>
    <row r="329" spans="1:13" s="79" customFormat="1" ht="17.25" customHeight="1">
      <c r="A329" s="71">
        <v>42363</v>
      </c>
      <c r="B329" s="72" t="s">
        <v>641</v>
      </c>
      <c r="C329" s="72" t="s">
        <v>23</v>
      </c>
      <c r="D329" s="72" t="s">
        <v>647</v>
      </c>
      <c r="E329" s="72" t="s">
        <v>643</v>
      </c>
      <c r="F329" s="72" t="s">
        <v>558</v>
      </c>
      <c r="G329" s="73">
        <v>204</v>
      </c>
      <c r="H329" s="74">
        <v>6.8</v>
      </c>
      <c r="I329" s="75">
        <f t="shared" si="12"/>
        <v>1387.2</v>
      </c>
      <c r="J329" s="72" t="s">
        <v>171</v>
      </c>
      <c r="K329" s="71">
        <v>42466</v>
      </c>
      <c r="L329" s="72" t="s">
        <v>119</v>
      </c>
      <c r="M329" s="78"/>
    </row>
    <row r="330" spans="1:13" s="79" customFormat="1" ht="17.25" customHeight="1">
      <c r="A330" s="71">
        <v>42333</v>
      </c>
      <c r="B330" s="72" t="s">
        <v>641</v>
      </c>
      <c r="C330" s="72" t="s">
        <v>25</v>
      </c>
      <c r="D330" s="72" t="s">
        <v>648</v>
      </c>
      <c r="E330" s="72" t="s">
        <v>649</v>
      </c>
      <c r="F330" s="72" t="s">
        <v>117</v>
      </c>
      <c r="G330" s="91">
        <v>14869</v>
      </c>
      <c r="H330" s="74">
        <v>6.9</v>
      </c>
      <c r="I330" s="75">
        <f t="shared" si="12"/>
        <v>102596.1</v>
      </c>
      <c r="J330" s="72" t="s">
        <v>171</v>
      </c>
      <c r="K330" s="71">
        <v>42466</v>
      </c>
      <c r="L330" s="72" t="s">
        <v>119</v>
      </c>
      <c r="M330" s="78"/>
    </row>
    <row r="331" spans="1:13" s="79" customFormat="1" ht="17.25" customHeight="1">
      <c r="A331" s="71">
        <v>42346</v>
      </c>
      <c r="B331" s="72" t="s">
        <v>641</v>
      </c>
      <c r="C331" s="72" t="s">
        <v>25</v>
      </c>
      <c r="D331" s="72" t="s">
        <v>650</v>
      </c>
      <c r="E331" s="72" t="s">
        <v>649</v>
      </c>
      <c r="F331" s="72" t="s">
        <v>646</v>
      </c>
      <c r="G331" s="73">
        <v>6</v>
      </c>
      <c r="H331" s="74">
        <v>6.7</v>
      </c>
      <c r="I331" s="75">
        <f t="shared" si="12"/>
        <v>40.200000000000003</v>
      </c>
      <c r="J331" s="72" t="s">
        <v>171</v>
      </c>
      <c r="K331" s="71">
        <v>42466</v>
      </c>
      <c r="L331" s="72" t="s">
        <v>119</v>
      </c>
      <c r="M331" s="78"/>
    </row>
    <row r="332" spans="1:13" s="79" customFormat="1" ht="17.25" customHeight="1">
      <c r="A332" s="71">
        <v>42352</v>
      </c>
      <c r="B332" s="72" t="s">
        <v>641</v>
      </c>
      <c r="C332" s="72" t="s">
        <v>25</v>
      </c>
      <c r="D332" s="72" t="s">
        <v>651</v>
      </c>
      <c r="E332" s="72" t="s">
        <v>649</v>
      </c>
      <c r="F332" s="72" t="s">
        <v>199</v>
      </c>
      <c r="G332" s="73">
        <v>119</v>
      </c>
      <c r="H332" s="74">
        <v>6.7</v>
      </c>
      <c r="I332" s="75">
        <f t="shared" si="12"/>
        <v>797.30000000000007</v>
      </c>
      <c r="J332" s="72" t="s">
        <v>171</v>
      </c>
      <c r="K332" s="71">
        <v>42466</v>
      </c>
      <c r="L332" s="72" t="s">
        <v>119</v>
      </c>
      <c r="M332" s="78"/>
    </row>
    <row r="333" spans="1:13" s="79" customFormat="1" ht="17.25" customHeight="1">
      <c r="A333" s="71">
        <v>42333</v>
      </c>
      <c r="B333" s="72" t="s">
        <v>641</v>
      </c>
      <c r="C333" s="72" t="s">
        <v>25</v>
      </c>
      <c r="D333" s="72" t="s">
        <v>652</v>
      </c>
      <c r="E333" s="72" t="s">
        <v>649</v>
      </c>
      <c r="F333" s="72" t="s">
        <v>117</v>
      </c>
      <c r="G333" s="91">
        <v>15830</v>
      </c>
      <c r="H333" s="74">
        <v>6.15</v>
      </c>
      <c r="I333" s="75">
        <f t="shared" si="12"/>
        <v>97354.5</v>
      </c>
      <c r="J333" s="72" t="s">
        <v>171</v>
      </c>
      <c r="K333" s="71">
        <v>42466</v>
      </c>
      <c r="L333" s="72" t="s">
        <v>119</v>
      </c>
      <c r="M333" s="78"/>
    </row>
    <row r="334" spans="1:13" s="79" customFormat="1" ht="17.25" customHeight="1">
      <c r="A334" s="71">
        <v>42346</v>
      </c>
      <c r="B334" s="72" t="s">
        <v>641</v>
      </c>
      <c r="C334" s="72" t="s">
        <v>25</v>
      </c>
      <c r="D334" s="72" t="s">
        <v>653</v>
      </c>
      <c r="E334" s="72" t="s">
        <v>649</v>
      </c>
      <c r="F334" s="72" t="s">
        <v>646</v>
      </c>
      <c r="G334" s="73">
        <v>6</v>
      </c>
      <c r="H334" s="74">
        <v>5.95</v>
      </c>
      <c r="I334" s="75">
        <f t="shared" si="12"/>
        <v>35.700000000000003</v>
      </c>
      <c r="J334" s="72" t="s">
        <v>171</v>
      </c>
      <c r="K334" s="71">
        <v>42466</v>
      </c>
      <c r="L334" s="72" t="s">
        <v>119</v>
      </c>
      <c r="M334" s="78"/>
    </row>
    <row r="335" spans="1:13" s="79" customFormat="1" ht="17.25" customHeight="1">
      <c r="A335" s="71">
        <v>42352</v>
      </c>
      <c r="B335" s="72" t="s">
        <v>641</v>
      </c>
      <c r="C335" s="72" t="s">
        <v>25</v>
      </c>
      <c r="D335" s="72" t="s">
        <v>654</v>
      </c>
      <c r="E335" s="72" t="s">
        <v>649</v>
      </c>
      <c r="F335" s="72" t="s">
        <v>199</v>
      </c>
      <c r="G335" s="73">
        <v>129</v>
      </c>
      <c r="H335" s="74">
        <v>5.95</v>
      </c>
      <c r="I335" s="75">
        <f t="shared" si="12"/>
        <v>767.55000000000007</v>
      </c>
      <c r="J335" s="72" t="s">
        <v>171</v>
      </c>
      <c r="K335" s="71">
        <v>42466</v>
      </c>
      <c r="L335" s="72" t="s">
        <v>119</v>
      </c>
      <c r="M335" s="78"/>
    </row>
    <row r="336" spans="1:13" s="79" customFormat="1" ht="17.25" customHeight="1">
      <c r="A336" s="71">
        <v>42334</v>
      </c>
      <c r="B336" s="72" t="s">
        <v>641</v>
      </c>
      <c r="C336" s="72" t="s">
        <v>27</v>
      </c>
      <c r="D336" s="72" t="s">
        <v>655</v>
      </c>
      <c r="E336" s="72" t="s">
        <v>656</v>
      </c>
      <c r="F336" s="72" t="s">
        <v>489</v>
      </c>
      <c r="G336" s="73">
        <v>804</v>
      </c>
      <c r="H336" s="74">
        <v>5.6</v>
      </c>
      <c r="I336" s="75">
        <f t="shared" si="12"/>
        <v>4502.3999999999996</v>
      </c>
      <c r="J336" s="72" t="s">
        <v>174</v>
      </c>
      <c r="K336" s="71">
        <v>42473</v>
      </c>
      <c r="L336" s="72" t="s">
        <v>130</v>
      </c>
      <c r="M336" s="78"/>
    </row>
    <row r="337" spans="1:13" s="79" customFormat="1" ht="17.25" customHeight="1">
      <c r="A337" s="71">
        <v>42391</v>
      </c>
      <c r="B337" s="72" t="s">
        <v>641</v>
      </c>
      <c r="C337" s="72" t="s">
        <v>27</v>
      </c>
      <c r="D337" s="72" t="s">
        <v>657</v>
      </c>
      <c r="E337" s="72" t="s">
        <v>656</v>
      </c>
      <c r="F337" s="72" t="s">
        <v>356</v>
      </c>
      <c r="G337" s="73">
        <v>1404</v>
      </c>
      <c r="H337" s="74">
        <v>5.6</v>
      </c>
      <c r="I337" s="75">
        <f t="shared" si="12"/>
        <v>7862.4</v>
      </c>
      <c r="J337" s="72" t="s">
        <v>174</v>
      </c>
      <c r="K337" s="71">
        <v>42473</v>
      </c>
      <c r="L337" s="72" t="s">
        <v>130</v>
      </c>
      <c r="M337" s="78"/>
    </row>
    <row r="338" spans="1:13" s="79" customFormat="1" ht="17.25" customHeight="1">
      <c r="A338" s="71">
        <v>42349</v>
      </c>
      <c r="B338" s="72" t="s">
        <v>641</v>
      </c>
      <c r="C338" s="72" t="s">
        <v>25</v>
      </c>
      <c r="D338" s="72" t="s">
        <v>658</v>
      </c>
      <c r="E338" s="72" t="s">
        <v>659</v>
      </c>
      <c r="F338" s="72" t="s">
        <v>182</v>
      </c>
      <c r="G338" s="73">
        <v>522</v>
      </c>
      <c r="H338" s="74">
        <v>6</v>
      </c>
      <c r="I338" s="75">
        <f t="shared" si="12"/>
        <v>3132</v>
      </c>
      <c r="J338" s="72" t="s">
        <v>174</v>
      </c>
      <c r="K338" s="71">
        <v>42473</v>
      </c>
      <c r="L338" s="72" t="s">
        <v>119</v>
      </c>
      <c r="M338" s="78"/>
    </row>
    <row r="339" spans="1:13" s="79" customFormat="1" ht="17.25" customHeight="1">
      <c r="A339" s="71">
        <v>42349</v>
      </c>
      <c r="B339" s="72" t="s">
        <v>641</v>
      </c>
      <c r="C339" s="72" t="s">
        <v>25</v>
      </c>
      <c r="D339" s="72" t="s">
        <v>660</v>
      </c>
      <c r="E339" s="72" t="s">
        <v>659</v>
      </c>
      <c r="F339" s="72" t="s">
        <v>173</v>
      </c>
      <c r="G339" s="91">
        <v>1650</v>
      </c>
      <c r="H339" s="74">
        <v>6</v>
      </c>
      <c r="I339" s="75">
        <f t="shared" si="12"/>
        <v>9900</v>
      </c>
      <c r="J339" s="72" t="s">
        <v>174</v>
      </c>
      <c r="K339" s="71">
        <v>42473</v>
      </c>
      <c r="L339" s="72" t="s">
        <v>119</v>
      </c>
      <c r="M339" s="78"/>
    </row>
    <row r="340" spans="1:13" s="79" customFormat="1" ht="17.25" customHeight="1">
      <c r="A340" s="71">
        <v>42349</v>
      </c>
      <c r="B340" s="72" t="s">
        <v>641</v>
      </c>
      <c r="C340" s="72" t="s">
        <v>25</v>
      </c>
      <c r="D340" s="72" t="s">
        <v>661</v>
      </c>
      <c r="E340" s="72" t="s">
        <v>659</v>
      </c>
      <c r="F340" s="72" t="s">
        <v>173</v>
      </c>
      <c r="G340" s="73">
        <v>150</v>
      </c>
      <c r="H340" s="74">
        <v>6</v>
      </c>
      <c r="I340" s="75">
        <f t="shared" si="12"/>
        <v>900</v>
      </c>
      <c r="J340" s="72" t="s">
        <v>174</v>
      </c>
      <c r="K340" s="71">
        <v>42473</v>
      </c>
      <c r="L340" s="72" t="s">
        <v>119</v>
      </c>
      <c r="M340" s="78"/>
    </row>
    <row r="341" spans="1:13" s="79" customFormat="1" ht="17.25" customHeight="1">
      <c r="A341" s="71">
        <v>42362</v>
      </c>
      <c r="B341" s="72" t="s">
        <v>641</v>
      </c>
      <c r="C341" s="72" t="s">
        <v>121</v>
      </c>
      <c r="D341" s="72" t="s">
        <v>662</v>
      </c>
      <c r="E341" s="72" t="s">
        <v>663</v>
      </c>
      <c r="F341" s="72" t="s">
        <v>117</v>
      </c>
      <c r="G341" s="73">
        <v>15432</v>
      </c>
      <c r="H341" s="74">
        <v>6.7</v>
      </c>
      <c r="I341" s="75">
        <f t="shared" si="12"/>
        <v>103394.40000000001</v>
      </c>
      <c r="J341" s="72" t="s">
        <v>155</v>
      </c>
      <c r="K341" s="71">
        <v>42487</v>
      </c>
      <c r="L341" s="72" t="s">
        <v>119</v>
      </c>
      <c r="M341" s="78"/>
    </row>
    <row r="342" spans="1:13" s="79" customFormat="1" ht="17.25" customHeight="1">
      <c r="A342" s="71">
        <v>42383</v>
      </c>
      <c r="B342" s="72" t="s">
        <v>641</v>
      </c>
      <c r="C342" s="72" t="s">
        <v>121</v>
      </c>
      <c r="D342" s="72" t="s">
        <v>664</v>
      </c>
      <c r="E342" s="72" t="s">
        <v>663</v>
      </c>
      <c r="F342" s="72" t="s">
        <v>199</v>
      </c>
      <c r="G342" s="73">
        <v>102</v>
      </c>
      <c r="H342" s="74">
        <v>6.5</v>
      </c>
      <c r="I342" s="75">
        <f t="shared" si="12"/>
        <v>663</v>
      </c>
      <c r="J342" s="72" t="s">
        <v>155</v>
      </c>
      <c r="K342" s="71">
        <v>42487</v>
      </c>
      <c r="L342" s="72" t="s">
        <v>119</v>
      </c>
      <c r="M342" s="78"/>
    </row>
    <row r="343" spans="1:13" s="79" customFormat="1" ht="17.25" customHeight="1">
      <c r="A343" s="71">
        <v>42401</v>
      </c>
      <c r="B343" s="72" t="s">
        <v>641</v>
      </c>
      <c r="C343" s="72" t="s">
        <v>121</v>
      </c>
      <c r="D343" s="72" t="s">
        <v>665</v>
      </c>
      <c r="E343" s="72" t="s">
        <v>663</v>
      </c>
      <c r="F343" s="72" t="s">
        <v>182</v>
      </c>
      <c r="G343" s="73">
        <v>354</v>
      </c>
      <c r="H343" s="74">
        <v>6.7</v>
      </c>
      <c r="I343" s="75">
        <f t="shared" si="12"/>
        <v>2371.8000000000002</v>
      </c>
      <c r="J343" s="72" t="s">
        <v>155</v>
      </c>
      <c r="K343" s="71">
        <v>42487</v>
      </c>
      <c r="L343" s="72" t="s">
        <v>119</v>
      </c>
      <c r="M343" s="78"/>
    </row>
    <row r="344" spans="1:13" s="79" customFormat="1" ht="17.25" customHeight="1">
      <c r="A344" s="71">
        <v>42369</v>
      </c>
      <c r="B344" s="72" t="s">
        <v>641</v>
      </c>
      <c r="C344" s="72" t="s">
        <v>121</v>
      </c>
      <c r="D344" s="72" t="s">
        <v>666</v>
      </c>
      <c r="E344" s="72" t="s">
        <v>663</v>
      </c>
      <c r="F344" s="72"/>
      <c r="G344" s="73">
        <v>6</v>
      </c>
      <c r="H344" s="74">
        <v>6.5</v>
      </c>
      <c r="I344" s="75">
        <f t="shared" si="12"/>
        <v>39</v>
      </c>
      <c r="J344" s="72" t="s">
        <v>155</v>
      </c>
      <c r="K344" s="71">
        <v>42487</v>
      </c>
      <c r="L344" s="72" t="s">
        <v>119</v>
      </c>
      <c r="M344" s="78"/>
    </row>
    <row r="345" spans="1:13" s="79" customFormat="1" ht="17.25" customHeight="1">
      <c r="A345" s="71">
        <v>42362</v>
      </c>
      <c r="B345" s="72" t="s">
        <v>641</v>
      </c>
      <c r="C345" s="72" t="s">
        <v>121</v>
      </c>
      <c r="D345" s="72" t="s">
        <v>667</v>
      </c>
      <c r="E345" s="72" t="s">
        <v>668</v>
      </c>
      <c r="F345" s="72" t="s">
        <v>117</v>
      </c>
      <c r="G345" s="73">
        <v>14397</v>
      </c>
      <c r="H345" s="74">
        <v>7.6</v>
      </c>
      <c r="I345" s="75">
        <f t="shared" si="12"/>
        <v>109417.2</v>
      </c>
      <c r="J345" s="72" t="s">
        <v>155</v>
      </c>
      <c r="K345" s="71">
        <v>42487</v>
      </c>
      <c r="L345" s="72" t="s">
        <v>119</v>
      </c>
      <c r="M345" s="78"/>
    </row>
    <row r="346" spans="1:13" s="79" customFormat="1" ht="17.25" customHeight="1">
      <c r="A346" s="71">
        <v>42387</v>
      </c>
      <c r="B346" s="72" t="s">
        <v>641</v>
      </c>
      <c r="C346" s="72" t="s">
        <v>121</v>
      </c>
      <c r="D346" s="72" t="s">
        <v>669</v>
      </c>
      <c r="E346" s="72" t="s">
        <v>668</v>
      </c>
      <c r="F346" s="72"/>
      <c r="G346" s="73">
        <v>6</v>
      </c>
      <c r="H346" s="74">
        <v>7.4</v>
      </c>
      <c r="I346" s="75">
        <f t="shared" si="12"/>
        <v>44.400000000000006</v>
      </c>
      <c r="J346" s="72" t="s">
        <v>155</v>
      </c>
      <c r="K346" s="71">
        <v>42487</v>
      </c>
      <c r="L346" s="72" t="s">
        <v>119</v>
      </c>
      <c r="M346" s="78"/>
    </row>
    <row r="347" spans="1:13" s="79" customFormat="1" ht="17.25" customHeight="1">
      <c r="A347" s="71">
        <v>42383</v>
      </c>
      <c r="B347" s="72" t="s">
        <v>641</v>
      </c>
      <c r="C347" s="72" t="s">
        <v>121</v>
      </c>
      <c r="D347" s="72" t="s">
        <v>670</v>
      </c>
      <c r="E347" s="72" t="s">
        <v>668</v>
      </c>
      <c r="F347" s="72" t="s">
        <v>199</v>
      </c>
      <c r="G347" s="73">
        <v>94</v>
      </c>
      <c r="H347" s="74">
        <v>7.4</v>
      </c>
      <c r="I347" s="75">
        <f t="shared" si="12"/>
        <v>695.6</v>
      </c>
      <c r="J347" s="72" t="s">
        <v>155</v>
      </c>
      <c r="K347" s="71">
        <v>42487</v>
      </c>
      <c r="L347" s="72" t="s">
        <v>119</v>
      </c>
      <c r="M347" s="78"/>
    </row>
    <row r="348" spans="1:13" s="79" customFormat="1" ht="17.25" customHeight="1">
      <c r="A348" s="71">
        <v>42401</v>
      </c>
      <c r="B348" s="72" t="s">
        <v>641</v>
      </c>
      <c r="C348" s="72" t="s">
        <v>121</v>
      </c>
      <c r="D348" s="72" t="s">
        <v>671</v>
      </c>
      <c r="E348" s="72" t="s">
        <v>668</v>
      </c>
      <c r="F348" s="72" t="s">
        <v>182</v>
      </c>
      <c r="G348" s="73">
        <v>354</v>
      </c>
      <c r="H348" s="74">
        <v>7.6</v>
      </c>
      <c r="I348" s="75">
        <f t="shared" si="12"/>
        <v>2690.4</v>
      </c>
      <c r="J348" s="72" t="s">
        <v>155</v>
      </c>
      <c r="K348" s="71">
        <v>42487</v>
      </c>
      <c r="L348" s="72" t="s">
        <v>119</v>
      </c>
      <c r="M348" s="78"/>
    </row>
    <row r="349" spans="1:13" s="79" customFormat="1" ht="17.25" customHeight="1">
      <c r="A349" s="71">
        <v>42367</v>
      </c>
      <c r="B349" s="72" t="s">
        <v>641</v>
      </c>
      <c r="C349" s="72" t="s">
        <v>121</v>
      </c>
      <c r="D349" s="72" t="s">
        <v>672</v>
      </c>
      <c r="E349" s="72" t="s">
        <v>673</v>
      </c>
      <c r="F349" s="72"/>
      <c r="G349" s="73">
        <v>1712</v>
      </c>
      <c r="H349" s="74">
        <v>6.75</v>
      </c>
      <c r="I349" s="75">
        <f t="shared" si="12"/>
        <v>11556</v>
      </c>
      <c r="J349" s="72" t="s">
        <v>165</v>
      </c>
      <c r="K349" s="71">
        <v>42529</v>
      </c>
      <c r="L349" s="72" t="s">
        <v>119</v>
      </c>
      <c r="M349" s="78"/>
    </row>
    <row r="350" spans="1:13" s="79" customFormat="1" ht="17.25" customHeight="1">
      <c r="A350" s="71">
        <v>42367</v>
      </c>
      <c r="B350" s="72" t="s">
        <v>641</v>
      </c>
      <c r="C350" s="72" t="s">
        <v>121</v>
      </c>
      <c r="D350" s="72" t="s">
        <v>674</v>
      </c>
      <c r="E350" s="72" t="s">
        <v>673</v>
      </c>
      <c r="F350" s="72"/>
      <c r="G350" s="73">
        <v>864</v>
      </c>
      <c r="H350" s="74">
        <v>6.75</v>
      </c>
      <c r="I350" s="75">
        <f t="shared" si="12"/>
        <v>5832</v>
      </c>
      <c r="J350" s="72" t="s">
        <v>165</v>
      </c>
      <c r="K350" s="71">
        <v>42529</v>
      </c>
      <c r="L350" s="72" t="s">
        <v>119</v>
      </c>
      <c r="M350" s="78"/>
    </row>
    <row r="351" spans="1:13" s="79" customFormat="1" ht="17.25" customHeight="1">
      <c r="A351" s="71">
        <v>42367</v>
      </c>
      <c r="B351" s="72" t="s">
        <v>641</v>
      </c>
      <c r="C351" s="72" t="s">
        <v>121</v>
      </c>
      <c r="D351" s="72" t="s">
        <v>675</v>
      </c>
      <c r="E351" s="72" t="s">
        <v>673</v>
      </c>
      <c r="F351" s="72"/>
      <c r="G351" s="73">
        <v>336</v>
      </c>
      <c r="H351" s="74">
        <v>6.75</v>
      </c>
      <c r="I351" s="75">
        <f t="shared" si="12"/>
        <v>2268</v>
      </c>
      <c r="J351" s="72" t="s">
        <v>165</v>
      </c>
      <c r="K351" s="71">
        <v>42529</v>
      </c>
      <c r="L351" s="72" t="s">
        <v>119</v>
      </c>
      <c r="M351" s="78"/>
    </row>
    <row r="352" spans="1:13" s="79" customFormat="1" ht="17.25" customHeight="1">
      <c r="A352" s="71">
        <v>42367</v>
      </c>
      <c r="B352" s="72" t="s">
        <v>641</v>
      </c>
      <c r="C352" s="72" t="s">
        <v>121</v>
      </c>
      <c r="D352" s="72" t="s">
        <v>676</v>
      </c>
      <c r="E352" s="72" t="s">
        <v>673</v>
      </c>
      <c r="F352" s="72"/>
      <c r="G352" s="73">
        <v>48</v>
      </c>
      <c r="H352" s="74">
        <v>6.55</v>
      </c>
      <c r="I352" s="75">
        <f t="shared" si="12"/>
        <v>314.39999999999998</v>
      </c>
      <c r="J352" s="72" t="s">
        <v>165</v>
      </c>
      <c r="K352" s="71">
        <v>42529</v>
      </c>
      <c r="L352" s="72" t="s">
        <v>119</v>
      </c>
      <c r="M352" s="78"/>
    </row>
    <row r="353" spans="1:13" s="79" customFormat="1" ht="17.25" customHeight="1">
      <c r="A353" s="71">
        <v>42367</v>
      </c>
      <c r="B353" s="72" t="s">
        <v>641</v>
      </c>
      <c r="C353" s="72" t="s">
        <v>121</v>
      </c>
      <c r="D353" s="72" t="s">
        <v>677</v>
      </c>
      <c r="E353" s="72" t="s">
        <v>678</v>
      </c>
      <c r="F353" s="72"/>
      <c r="G353" s="73">
        <v>1392</v>
      </c>
      <c r="H353" s="74">
        <v>7.3</v>
      </c>
      <c r="I353" s="75">
        <f t="shared" si="12"/>
        <v>10161.6</v>
      </c>
      <c r="J353" s="72" t="s">
        <v>165</v>
      </c>
      <c r="K353" s="71">
        <v>42529</v>
      </c>
      <c r="L353" s="72" t="s">
        <v>119</v>
      </c>
      <c r="M353" s="78"/>
    </row>
    <row r="354" spans="1:13" s="79" customFormat="1" ht="17.25" customHeight="1">
      <c r="A354" s="71">
        <v>42367</v>
      </c>
      <c r="B354" s="72" t="s">
        <v>641</v>
      </c>
      <c r="C354" s="72" t="s">
        <v>121</v>
      </c>
      <c r="D354" s="72" t="s">
        <v>679</v>
      </c>
      <c r="E354" s="72" t="s">
        <v>678</v>
      </c>
      <c r="F354" s="72"/>
      <c r="G354" s="73">
        <v>112</v>
      </c>
      <c r="H354" s="74">
        <v>7.3</v>
      </c>
      <c r="I354" s="75">
        <f t="shared" si="12"/>
        <v>817.6</v>
      </c>
      <c r="J354" s="72" t="s">
        <v>165</v>
      </c>
      <c r="K354" s="71">
        <v>42529</v>
      </c>
      <c r="L354" s="72" t="s">
        <v>119</v>
      </c>
      <c r="M354" s="78"/>
    </row>
    <row r="355" spans="1:13" s="79" customFormat="1" ht="17.25" customHeight="1">
      <c r="A355" s="71">
        <v>42367</v>
      </c>
      <c r="B355" s="72" t="s">
        <v>641</v>
      </c>
      <c r="C355" s="72" t="s">
        <v>121</v>
      </c>
      <c r="D355" s="72" t="s">
        <v>680</v>
      </c>
      <c r="E355" s="72" t="s">
        <v>678</v>
      </c>
      <c r="F355" s="72"/>
      <c r="G355" s="73">
        <v>16</v>
      </c>
      <c r="H355" s="74">
        <v>7.3</v>
      </c>
      <c r="I355" s="75">
        <f t="shared" si="12"/>
        <v>116.8</v>
      </c>
      <c r="J355" s="72" t="s">
        <v>165</v>
      </c>
      <c r="K355" s="71">
        <v>42529</v>
      </c>
      <c r="L355" s="72" t="s">
        <v>119</v>
      </c>
      <c r="M355" s="78"/>
    </row>
    <row r="356" spans="1:13" s="79" customFormat="1" ht="17.25" customHeight="1">
      <c r="A356" s="71">
        <v>42367</v>
      </c>
      <c r="B356" s="72" t="s">
        <v>641</v>
      </c>
      <c r="C356" s="72" t="s">
        <v>121</v>
      </c>
      <c r="D356" s="72" t="s">
        <v>681</v>
      </c>
      <c r="E356" s="72" t="s">
        <v>678</v>
      </c>
      <c r="F356" s="72"/>
      <c r="G356" s="73">
        <v>56</v>
      </c>
      <c r="H356" s="74">
        <v>7.1</v>
      </c>
      <c r="I356" s="75">
        <f t="shared" si="12"/>
        <v>397.59999999999997</v>
      </c>
      <c r="J356" s="72" t="s">
        <v>165</v>
      </c>
      <c r="K356" s="71">
        <v>42529</v>
      </c>
      <c r="L356" s="72" t="s">
        <v>119</v>
      </c>
      <c r="M356" s="78"/>
    </row>
    <row r="357" spans="1:13" s="79" customFormat="1" ht="17.25" customHeight="1">
      <c r="A357" s="71">
        <v>42401</v>
      </c>
      <c r="B357" s="72" t="s">
        <v>641</v>
      </c>
      <c r="C357" s="72" t="s">
        <v>292</v>
      </c>
      <c r="D357" s="72" t="s">
        <v>682</v>
      </c>
      <c r="E357" s="72" t="s">
        <v>683</v>
      </c>
      <c r="F357" s="72" t="s">
        <v>492</v>
      </c>
      <c r="G357" s="73">
        <v>1392</v>
      </c>
      <c r="H357" s="74">
        <v>5.45</v>
      </c>
      <c r="I357" s="75">
        <f t="shared" si="12"/>
        <v>7586.4000000000005</v>
      </c>
      <c r="J357" s="72" t="s">
        <v>232</v>
      </c>
      <c r="K357" s="71">
        <v>42509</v>
      </c>
      <c r="L357" s="72" t="s">
        <v>119</v>
      </c>
      <c r="M357" s="78"/>
    </row>
    <row r="358" spans="1:13" s="79" customFormat="1" ht="17.25" customHeight="1">
      <c r="A358" s="71">
        <v>42401</v>
      </c>
      <c r="B358" s="72" t="s">
        <v>641</v>
      </c>
      <c r="C358" s="72" t="s">
        <v>292</v>
      </c>
      <c r="D358" s="72" t="s">
        <v>684</v>
      </c>
      <c r="E358" s="72" t="s">
        <v>683</v>
      </c>
      <c r="F358" s="72" t="s">
        <v>492</v>
      </c>
      <c r="G358" s="73">
        <v>1491</v>
      </c>
      <c r="H358" s="74">
        <v>5.45</v>
      </c>
      <c r="I358" s="75">
        <f t="shared" si="12"/>
        <v>8125.95</v>
      </c>
      <c r="J358" s="72" t="s">
        <v>232</v>
      </c>
      <c r="K358" s="71">
        <v>42509</v>
      </c>
      <c r="L358" s="72" t="s">
        <v>119</v>
      </c>
      <c r="M358" s="78"/>
    </row>
    <row r="359" spans="1:13" s="79" customFormat="1" ht="17.25" customHeight="1">
      <c r="A359" s="71">
        <v>42401</v>
      </c>
      <c r="B359" s="72" t="s">
        <v>641</v>
      </c>
      <c r="C359" s="72" t="s">
        <v>292</v>
      </c>
      <c r="D359" s="72" t="s">
        <v>685</v>
      </c>
      <c r="E359" s="72" t="s">
        <v>683</v>
      </c>
      <c r="F359" s="72" t="s">
        <v>492</v>
      </c>
      <c r="G359" s="73">
        <v>1832</v>
      </c>
      <c r="H359" s="74">
        <v>5.45</v>
      </c>
      <c r="I359" s="75">
        <f t="shared" si="12"/>
        <v>9984.4</v>
      </c>
      <c r="J359" s="72" t="s">
        <v>232</v>
      </c>
      <c r="K359" s="71">
        <v>42509</v>
      </c>
      <c r="L359" s="72" t="s">
        <v>119</v>
      </c>
      <c r="M359" s="78"/>
    </row>
    <row r="360" spans="1:13" s="79" customFormat="1" ht="17.25" customHeight="1">
      <c r="A360" s="71">
        <v>42401</v>
      </c>
      <c r="B360" s="72" t="s">
        <v>641</v>
      </c>
      <c r="C360" s="72" t="s">
        <v>292</v>
      </c>
      <c r="D360" s="72" t="s">
        <v>686</v>
      </c>
      <c r="E360" s="72" t="s">
        <v>683</v>
      </c>
      <c r="F360" s="72" t="s">
        <v>492</v>
      </c>
      <c r="G360" s="73">
        <v>1615</v>
      </c>
      <c r="H360" s="74">
        <v>5.45</v>
      </c>
      <c r="I360" s="75">
        <f t="shared" si="12"/>
        <v>8801.75</v>
      </c>
      <c r="J360" s="72" t="s">
        <v>232</v>
      </c>
      <c r="K360" s="71">
        <v>42509</v>
      </c>
      <c r="L360" s="72" t="s">
        <v>119</v>
      </c>
      <c r="M360" s="78"/>
    </row>
    <row r="361" spans="1:13" s="79" customFormat="1" ht="17.25" customHeight="1">
      <c r="A361" s="71">
        <v>42401</v>
      </c>
      <c r="B361" s="72" t="s">
        <v>641</v>
      </c>
      <c r="C361" s="72" t="s">
        <v>292</v>
      </c>
      <c r="D361" s="72" t="s">
        <v>687</v>
      </c>
      <c r="E361" s="72" t="s">
        <v>683</v>
      </c>
      <c r="F361" s="72" t="s">
        <v>492</v>
      </c>
      <c r="G361" s="73">
        <v>762</v>
      </c>
      <c r="H361" s="74">
        <v>5.45</v>
      </c>
      <c r="I361" s="75">
        <f t="shared" si="12"/>
        <v>4152.9000000000005</v>
      </c>
      <c r="J361" s="72" t="s">
        <v>232</v>
      </c>
      <c r="K361" s="71">
        <v>42509</v>
      </c>
      <c r="L361" s="72" t="s">
        <v>119</v>
      </c>
      <c r="M361" s="78"/>
    </row>
    <row r="362" spans="1:13" s="79" customFormat="1" ht="17.25" customHeight="1">
      <c r="A362" s="71">
        <v>42401</v>
      </c>
      <c r="B362" s="72" t="s">
        <v>641</v>
      </c>
      <c r="C362" s="72" t="s">
        <v>292</v>
      </c>
      <c r="D362" s="72" t="s">
        <v>688</v>
      </c>
      <c r="E362" s="72" t="s">
        <v>683</v>
      </c>
      <c r="F362" s="72" t="s">
        <v>492</v>
      </c>
      <c r="G362" s="73">
        <v>158</v>
      </c>
      <c r="H362" s="74">
        <v>5.45</v>
      </c>
      <c r="I362" s="75">
        <f t="shared" si="12"/>
        <v>861.1</v>
      </c>
      <c r="J362" s="72" t="s">
        <v>232</v>
      </c>
      <c r="K362" s="71">
        <v>42509</v>
      </c>
      <c r="L362" s="72" t="s">
        <v>119</v>
      </c>
      <c r="M362" s="78"/>
    </row>
    <row r="363" spans="1:13" s="79" customFormat="1" ht="17.25" customHeight="1">
      <c r="A363" s="71">
        <v>42415</v>
      </c>
      <c r="B363" s="72" t="s">
        <v>641</v>
      </c>
      <c r="C363" s="72" t="s">
        <v>292</v>
      </c>
      <c r="D363" s="72" t="s">
        <v>689</v>
      </c>
      <c r="E363" s="72" t="s">
        <v>683</v>
      </c>
      <c r="F363" s="72" t="s">
        <v>173</v>
      </c>
      <c r="G363" s="73">
        <v>2394</v>
      </c>
      <c r="H363" s="74">
        <v>5.65</v>
      </c>
      <c r="I363" s="75">
        <f t="shared" si="12"/>
        <v>13526.1</v>
      </c>
      <c r="J363" s="72" t="s">
        <v>232</v>
      </c>
      <c r="K363" s="71">
        <v>42509</v>
      </c>
      <c r="L363" s="72" t="s">
        <v>119</v>
      </c>
      <c r="M363" s="78"/>
    </row>
    <row r="364" spans="1:13" s="79" customFormat="1" ht="17.25" customHeight="1">
      <c r="A364" s="71">
        <v>42415</v>
      </c>
      <c r="B364" s="72" t="s">
        <v>641</v>
      </c>
      <c r="C364" s="72" t="s">
        <v>292</v>
      </c>
      <c r="D364" s="72" t="s">
        <v>690</v>
      </c>
      <c r="E364" s="72" t="s">
        <v>683</v>
      </c>
      <c r="F364" s="72"/>
      <c r="G364" s="73">
        <v>6</v>
      </c>
      <c r="H364" s="74">
        <v>5.45</v>
      </c>
      <c r="I364" s="75">
        <f t="shared" si="12"/>
        <v>32.700000000000003</v>
      </c>
      <c r="J364" s="72" t="s">
        <v>232</v>
      </c>
      <c r="K364" s="71">
        <v>42509</v>
      </c>
      <c r="L364" s="72" t="s">
        <v>119</v>
      </c>
      <c r="M364" s="78"/>
    </row>
    <row r="365" spans="1:13" s="79" customFormat="1" ht="17.25" customHeight="1">
      <c r="A365" s="71">
        <v>42402</v>
      </c>
      <c r="B365" s="72" t="s">
        <v>641</v>
      </c>
      <c r="C365" s="72" t="s">
        <v>121</v>
      </c>
      <c r="D365" s="72" t="s">
        <v>691</v>
      </c>
      <c r="E365" s="72" t="s">
        <v>692</v>
      </c>
      <c r="F365" s="72" t="s">
        <v>356</v>
      </c>
      <c r="G365" s="73">
        <v>5184</v>
      </c>
      <c r="H365" s="74">
        <v>7.1</v>
      </c>
      <c r="I365" s="75">
        <f t="shared" si="12"/>
        <v>36806.400000000001</v>
      </c>
      <c r="J365" s="72" t="s">
        <v>124</v>
      </c>
      <c r="K365" s="71">
        <v>42515</v>
      </c>
      <c r="L365" s="72" t="s">
        <v>119</v>
      </c>
      <c r="M365" s="78"/>
    </row>
    <row r="366" spans="1:13" s="79" customFormat="1" ht="17.25" customHeight="1">
      <c r="A366" s="71">
        <v>42402</v>
      </c>
      <c r="B366" s="72" t="s">
        <v>641</v>
      </c>
      <c r="C366" s="72" t="s">
        <v>121</v>
      </c>
      <c r="D366" s="72" t="s">
        <v>693</v>
      </c>
      <c r="E366" s="72" t="s">
        <v>692</v>
      </c>
      <c r="F366" s="72" t="s">
        <v>356</v>
      </c>
      <c r="G366" s="73">
        <v>6342</v>
      </c>
      <c r="H366" s="74">
        <v>7.1</v>
      </c>
      <c r="I366" s="75">
        <f t="shared" si="12"/>
        <v>45028.2</v>
      </c>
      <c r="J366" s="72" t="s">
        <v>124</v>
      </c>
      <c r="K366" s="71">
        <v>42515</v>
      </c>
      <c r="L366" s="72" t="s">
        <v>119</v>
      </c>
      <c r="M366" s="78"/>
    </row>
    <row r="367" spans="1:13" s="79" customFormat="1" ht="17.25" customHeight="1">
      <c r="A367" s="71">
        <v>42402</v>
      </c>
      <c r="B367" s="72" t="s">
        <v>641</v>
      </c>
      <c r="C367" s="72" t="s">
        <v>121</v>
      </c>
      <c r="D367" s="72" t="s">
        <v>694</v>
      </c>
      <c r="E367" s="72" t="s">
        <v>692</v>
      </c>
      <c r="F367" s="72" t="s">
        <v>356</v>
      </c>
      <c r="G367" s="73">
        <v>120</v>
      </c>
      <c r="H367" s="74">
        <v>7.1</v>
      </c>
      <c r="I367" s="75">
        <f t="shared" si="12"/>
        <v>852</v>
      </c>
      <c r="J367" s="72" t="s">
        <v>124</v>
      </c>
      <c r="K367" s="71">
        <v>42515</v>
      </c>
      <c r="L367" s="72" t="s">
        <v>119</v>
      </c>
      <c r="M367" s="78"/>
    </row>
    <row r="368" spans="1:13" s="79" customFormat="1" ht="17.25" customHeight="1">
      <c r="A368" s="71">
        <v>42402</v>
      </c>
      <c r="B368" s="72" t="s">
        <v>641</v>
      </c>
      <c r="C368" s="72" t="s">
        <v>121</v>
      </c>
      <c r="D368" s="72" t="s">
        <v>695</v>
      </c>
      <c r="E368" s="72" t="s">
        <v>696</v>
      </c>
      <c r="F368" s="72" t="s">
        <v>356</v>
      </c>
      <c r="G368" s="73">
        <v>5490</v>
      </c>
      <c r="H368" s="74">
        <v>8.5500000000000007</v>
      </c>
      <c r="I368" s="75">
        <f t="shared" si="12"/>
        <v>46939.500000000007</v>
      </c>
      <c r="J368" s="72" t="s">
        <v>124</v>
      </c>
      <c r="K368" s="71">
        <v>42515</v>
      </c>
      <c r="L368" s="72" t="s">
        <v>119</v>
      </c>
      <c r="M368" s="78"/>
    </row>
    <row r="369" spans="1:13" s="79" customFormat="1" ht="17.25" customHeight="1">
      <c r="A369" s="71">
        <v>42402</v>
      </c>
      <c r="B369" s="72" t="s">
        <v>641</v>
      </c>
      <c r="C369" s="72" t="s">
        <v>121</v>
      </c>
      <c r="D369" s="72" t="s">
        <v>697</v>
      </c>
      <c r="E369" s="72" t="s">
        <v>696</v>
      </c>
      <c r="F369" s="72" t="s">
        <v>356</v>
      </c>
      <c r="G369" s="73">
        <v>948</v>
      </c>
      <c r="H369" s="74">
        <v>8.5500000000000007</v>
      </c>
      <c r="I369" s="75">
        <f t="shared" si="12"/>
        <v>8105.4000000000005</v>
      </c>
      <c r="J369" s="72" t="s">
        <v>124</v>
      </c>
      <c r="K369" s="71">
        <v>42515</v>
      </c>
      <c r="L369" s="72" t="s">
        <v>119</v>
      </c>
      <c r="M369" s="78"/>
    </row>
    <row r="370" spans="1:13" s="79" customFormat="1" ht="17.25" customHeight="1">
      <c r="A370" s="71">
        <v>42402</v>
      </c>
      <c r="B370" s="72" t="s">
        <v>641</v>
      </c>
      <c r="C370" s="72" t="s">
        <v>121</v>
      </c>
      <c r="D370" s="72" t="s">
        <v>698</v>
      </c>
      <c r="E370" s="72" t="s">
        <v>696</v>
      </c>
      <c r="F370" s="72" t="s">
        <v>356</v>
      </c>
      <c r="G370" s="73">
        <v>540</v>
      </c>
      <c r="H370" s="74">
        <v>8.5500000000000007</v>
      </c>
      <c r="I370" s="75">
        <f t="shared" si="12"/>
        <v>4617</v>
      </c>
      <c r="J370" s="72" t="s">
        <v>124</v>
      </c>
      <c r="K370" s="71">
        <v>42515</v>
      </c>
      <c r="L370" s="72" t="s">
        <v>119</v>
      </c>
      <c r="M370" s="78"/>
    </row>
    <row r="371" spans="1:13" s="79" customFormat="1" ht="17.25" customHeight="1">
      <c r="A371" s="71">
        <v>42366</v>
      </c>
      <c r="B371" s="72" t="s">
        <v>641</v>
      </c>
      <c r="C371" s="72" t="s">
        <v>386</v>
      </c>
      <c r="D371" s="72" t="s">
        <v>699</v>
      </c>
      <c r="E371" s="72" t="s">
        <v>700</v>
      </c>
      <c r="F371" s="72" t="s">
        <v>701</v>
      </c>
      <c r="G371" s="86">
        <v>11120</v>
      </c>
      <c r="H371" s="74">
        <v>7.5</v>
      </c>
      <c r="I371" s="83">
        <f t="shared" si="12"/>
        <v>83400</v>
      </c>
      <c r="J371" s="72" t="s">
        <v>254</v>
      </c>
      <c r="K371" s="71">
        <v>42487</v>
      </c>
      <c r="L371" s="72" t="s">
        <v>119</v>
      </c>
      <c r="M371" s="78"/>
    </row>
    <row r="372" spans="1:13" s="79" customFormat="1" ht="17.25" customHeight="1">
      <c r="A372" s="71">
        <v>42298</v>
      </c>
      <c r="B372" s="72" t="s">
        <v>702</v>
      </c>
      <c r="C372" s="72" t="s">
        <v>24</v>
      </c>
      <c r="D372" s="72" t="s">
        <v>703</v>
      </c>
      <c r="E372" s="72" t="s">
        <v>704</v>
      </c>
      <c r="F372" s="72" t="s">
        <v>705</v>
      </c>
      <c r="G372" s="91">
        <v>2784</v>
      </c>
      <c r="H372" s="74">
        <v>5.85</v>
      </c>
      <c r="I372" s="75">
        <f t="shared" ref="I372:I435" si="13">G372*H372</f>
        <v>16286.4</v>
      </c>
      <c r="J372" s="72" t="s">
        <v>171</v>
      </c>
      <c r="K372" s="71">
        <v>42468</v>
      </c>
      <c r="L372" s="105" t="s">
        <v>130</v>
      </c>
      <c r="M372" s="78"/>
    </row>
    <row r="373" spans="1:13" s="79" customFormat="1" ht="17.25" customHeight="1">
      <c r="A373" s="71">
        <v>42326</v>
      </c>
      <c r="B373" s="72" t="s">
        <v>702</v>
      </c>
      <c r="C373" s="72" t="s">
        <v>24</v>
      </c>
      <c r="D373" s="72" t="s">
        <v>706</v>
      </c>
      <c r="E373" s="72" t="s">
        <v>704</v>
      </c>
      <c r="F373" s="72" t="s">
        <v>705</v>
      </c>
      <c r="G373" s="90">
        <v>368</v>
      </c>
      <c r="H373" s="74">
        <v>5.85</v>
      </c>
      <c r="I373" s="75">
        <f t="shared" si="13"/>
        <v>2152.7999999999997</v>
      </c>
      <c r="J373" s="72" t="s">
        <v>171</v>
      </c>
      <c r="K373" s="71">
        <v>42468</v>
      </c>
      <c r="L373" s="105" t="s">
        <v>130</v>
      </c>
      <c r="M373" s="78"/>
    </row>
    <row r="374" spans="1:13" s="79" customFormat="1" ht="17.25" customHeight="1">
      <c r="A374" s="71">
        <v>42326</v>
      </c>
      <c r="B374" s="72" t="s">
        <v>702</v>
      </c>
      <c r="C374" s="72" t="s">
        <v>24</v>
      </c>
      <c r="D374" s="72" t="s">
        <v>707</v>
      </c>
      <c r="E374" s="72" t="s">
        <v>704</v>
      </c>
      <c r="F374" s="72" t="s">
        <v>705</v>
      </c>
      <c r="G374" s="90">
        <v>632</v>
      </c>
      <c r="H374" s="74">
        <v>5.85</v>
      </c>
      <c r="I374" s="75">
        <f t="shared" si="13"/>
        <v>3697.2</v>
      </c>
      <c r="J374" s="72" t="s">
        <v>171</v>
      </c>
      <c r="K374" s="71">
        <v>42468</v>
      </c>
      <c r="L374" s="105" t="s">
        <v>130</v>
      </c>
      <c r="M374" s="78"/>
    </row>
    <row r="375" spans="1:13" s="79" customFormat="1" ht="17.25" customHeight="1">
      <c r="A375" s="71">
        <v>42326</v>
      </c>
      <c r="B375" s="72" t="s">
        <v>702</v>
      </c>
      <c r="C375" s="72" t="s">
        <v>24</v>
      </c>
      <c r="D375" s="72" t="s">
        <v>708</v>
      </c>
      <c r="E375" s="72" t="s">
        <v>704</v>
      </c>
      <c r="F375" s="72" t="s">
        <v>705</v>
      </c>
      <c r="G375" s="90">
        <v>40</v>
      </c>
      <c r="H375" s="74">
        <v>5.65</v>
      </c>
      <c r="I375" s="75">
        <f t="shared" si="13"/>
        <v>226</v>
      </c>
      <c r="J375" s="72" t="s">
        <v>171</v>
      </c>
      <c r="K375" s="71">
        <v>42468</v>
      </c>
      <c r="L375" s="105" t="s">
        <v>130</v>
      </c>
      <c r="M375" s="78"/>
    </row>
    <row r="376" spans="1:13" s="79" customFormat="1" ht="17.25" customHeight="1">
      <c r="A376" s="71">
        <v>42303</v>
      </c>
      <c r="B376" s="72" t="s">
        <v>702</v>
      </c>
      <c r="C376" s="72" t="s">
        <v>24</v>
      </c>
      <c r="D376" s="72" t="s">
        <v>709</v>
      </c>
      <c r="E376" s="72" t="s">
        <v>704</v>
      </c>
      <c r="F376" s="72" t="s">
        <v>646</v>
      </c>
      <c r="G376" s="73">
        <v>6</v>
      </c>
      <c r="H376" s="74">
        <v>5.65</v>
      </c>
      <c r="I376" s="75">
        <f t="shared" si="13"/>
        <v>33.900000000000006</v>
      </c>
      <c r="J376" s="72" t="s">
        <v>171</v>
      </c>
      <c r="K376" s="71">
        <v>42468</v>
      </c>
      <c r="L376" s="105" t="s">
        <v>130</v>
      </c>
      <c r="M376" s="78"/>
    </row>
    <row r="377" spans="1:13" s="79" customFormat="1" ht="17.25" customHeight="1">
      <c r="A377" s="71">
        <v>42298</v>
      </c>
      <c r="B377" s="72" t="s">
        <v>702</v>
      </c>
      <c r="C377" s="72" t="s">
        <v>24</v>
      </c>
      <c r="D377" s="72" t="s">
        <v>710</v>
      </c>
      <c r="E377" s="72" t="s">
        <v>711</v>
      </c>
      <c r="F377" s="72" t="s">
        <v>705</v>
      </c>
      <c r="G377" s="73">
        <v>1056</v>
      </c>
      <c r="H377" s="74">
        <v>6.85</v>
      </c>
      <c r="I377" s="75">
        <f t="shared" si="13"/>
        <v>7233.5999999999995</v>
      </c>
      <c r="J377" s="72" t="s">
        <v>543</v>
      </c>
      <c r="K377" s="71">
        <v>42451</v>
      </c>
      <c r="L377" s="105" t="s">
        <v>130</v>
      </c>
      <c r="M377" s="78"/>
    </row>
    <row r="378" spans="1:13" s="79" customFormat="1" ht="17.25" customHeight="1">
      <c r="A378" s="71">
        <v>42326</v>
      </c>
      <c r="B378" s="72" t="s">
        <v>702</v>
      </c>
      <c r="C378" s="72" t="s">
        <v>24</v>
      </c>
      <c r="D378" s="72" t="s">
        <v>712</v>
      </c>
      <c r="E378" s="72" t="s">
        <v>711</v>
      </c>
      <c r="F378" s="72" t="s">
        <v>705</v>
      </c>
      <c r="G378" s="73">
        <v>368</v>
      </c>
      <c r="H378" s="74">
        <v>6.85</v>
      </c>
      <c r="I378" s="75">
        <f t="shared" si="13"/>
        <v>2520.7999999999997</v>
      </c>
      <c r="J378" s="72" t="s">
        <v>543</v>
      </c>
      <c r="K378" s="71">
        <v>42451</v>
      </c>
      <c r="L378" s="105" t="s">
        <v>130</v>
      </c>
      <c r="M378" s="78"/>
    </row>
    <row r="379" spans="1:13" s="79" customFormat="1" ht="17.25" customHeight="1">
      <c r="A379" s="71">
        <v>42326</v>
      </c>
      <c r="B379" s="72" t="s">
        <v>702</v>
      </c>
      <c r="C379" s="72" t="s">
        <v>24</v>
      </c>
      <c r="D379" s="72" t="s">
        <v>713</v>
      </c>
      <c r="E379" s="72" t="s">
        <v>711</v>
      </c>
      <c r="F379" s="72" t="s">
        <v>705</v>
      </c>
      <c r="G379" s="73">
        <v>1424</v>
      </c>
      <c r="H379" s="74">
        <v>6.85</v>
      </c>
      <c r="I379" s="75">
        <f t="shared" si="13"/>
        <v>9754.4</v>
      </c>
      <c r="J379" s="72" t="s">
        <v>543</v>
      </c>
      <c r="K379" s="71">
        <v>42451</v>
      </c>
      <c r="L379" s="105" t="s">
        <v>130</v>
      </c>
      <c r="M379" s="78"/>
    </row>
    <row r="380" spans="1:13" s="79" customFormat="1" ht="17.25" customHeight="1">
      <c r="A380" s="71">
        <v>42326</v>
      </c>
      <c r="B380" s="72" t="s">
        <v>702</v>
      </c>
      <c r="C380" s="72" t="s">
        <v>24</v>
      </c>
      <c r="D380" s="72" t="s">
        <v>714</v>
      </c>
      <c r="E380" s="72" t="s">
        <v>711</v>
      </c>
      <c r="F380" s="72" t="s">
        <v>705</v>
      </c>
      <c r="G380" s="73">
        <v>40</v>
      </c>
      <c r="H380" s="74">
        <v>6.65</v>
      </c>
      <c r="I380" s="75">
        <f t="shared" si="13"/>
        <v>266</v>
      </c>
      <c r="J380" s="72" t="s">
        <v>543</v>
      </c>
      <c r="K380" s="71">
        <v>42451</v>
      </c>
      <c r="L380" s="105" t="s">
        <v>130</v>
      </c>
      <c r="M380" s="78"/>
    </row>
    <row r="381" spans="1:13" s="79" customFormat="1" ht="17.25" customHeight="1">
      <c r="A381" s="71">
        <v>42320</v>
      </c>
      <c r="B381" s="72" t="s">
        <v>715</v>
      </c>
      <c r="C381" s="72" t="s">
        <v>27</v>
      </c>
      <c r="D381" s="72" t="s">
        <v>716</v>
      </c>
      <c r="E381" s="72" t="s">
        <v>717</v>
      </c>
      <c r="F381" s="72" t="s">
        <v>356</v>
      </c>
      <c r="G381" s="73">
        <v>1715</v>
      </c>
      <c r="H381" s="74">
        <v>6.3</v>
      </c>
      <c r="I381" s="75">
        <f t="shared" si="13"/>
        <v>10804.5</v>
      </c>
      <c r="J381" s="72" t="s">
        <v>366</v>
      </c>
      <c r="K381" s="71">
        <v>42459</v>
      </c>
      <c r="L381" s="105" t="s">
        <v>119</v>
      </c>
      <c r="M381" s="78"/>
    </row>
    <row r="382" spans="1:13" s="79" customFormat="1" ht="17.25" customHeight="1">
      <c r="A382" s="71">
        <v>42326</v>
      </c>
      <c r="B382" s="72" t="s">
        <v>715</v>
      </c>
      <c r="C382" s="72" t="s">
        <v>27</v>
      </c>
      <c r="D382" s="72" t="s">
        <v>718</v>
      </c>
      <c r="E382" s="72" t="s">
        <v>717</v>
      </c>
      <c r="F382" s="72" t="s">
        <v>356</v>
      </c>
      <c r="G382" s="73">
        <v>735</v>
      </c>
      <c r="H382" s="74">
        <v>6.3</v>
      </c>
      <c r="I382" s="75">
        <f t="shared" si="13"/>
        <v>4630.5</v>
      </c>
      <c r="J382" s="72" t="s">
        <v>366</v>
      </c>
      <c r="K382" s="71">
        <v>42459</v>
      </c>
      <c r="L382" s="105" t="s">
        <v>119</v>
      </c>
      <c r="M382" s="78"/>
    </row>
    <row r="383" spans="1:13" s="79" customFormat="1" ht="17.25" customHeight="1">
      <c r="A383" s="71">
        <v>42320</v>
      </c>
      <c r="B383" s="72" t="s">
        <v>715</v>
      </c>
      <c r="C383" s="72" t="s">
        <v>27</v>
      </c>
      <c r="D383" s="72" t="s">
        <v>719</v>
      </c>
      <c r="E383" s="72" t="s">
        <v>720</v>
      </c>
      <c r="F383" s="72" t="s">
        <v>356</v>
      </c>
      <c r="G383" s="91">
        <v>2862</v>
      </c>
      <c r="H383" s="74">
        <v>7.3</v>
      </c>
      <c r="I383" s="75">
        <f t="shared" si="13"/>
        <v>20892.599999999999</v>
      </c>
      <c r="J383" s="72" t="s">
        <v>366</v>
      </c>
      <c r="K383" s="71">
        <v>42459</v>
      </c>
      <c r="L383" s="105" t="s">
        <v>119</v>
      </c>
      <c r="M383" s="78"/>
    </row>
    <row r="384" spans="1:13" s="79" customFormat="1" ht="17.25" customHeight="1">
      <c r="A384" s="71">
        <v>42340</v>
      </c>
      <c r="B384" s="80" t="s">
        <v>715</v>
      </c>
      <c r="C384" s="72" t="s">
        <v>27</v>
      </c>
      <c r="D384" s="72" t="s">
        <v>721</v>
      </c>
      <c r="E384" s="72" t="s">
        <v>720</v>
      </c>
      <c r="F384" s="72" t="s">
        <v>356</v>
      </c>
      <c r="G384" s="90">
        <v>714</v>
      </c>
      <c r="H384" s="74">
        <v>7.3</v>
      </c>
      <c r="I384" s="75">
        <f t="shared" si="13"/>
        <v>5212.2</v>
      </c>
      <c r="J384" s="72" t="s">
        <v>366</v>
      </c>
      <c r="K384" s="71">
        <v>42459</v>
      </c>
      <c r="L384" s="105" t="s">
        <v>119</v>
      </c>
      <c r="M384" s="78"/>
    </row>
    <row r="385" spans="1:13" s="79" customFormat="1" ht="17.25" customHeight="1">
      <c r="A385" s="71">
        <v>42340</v>
      </c>
      <c r="B385" s="80" t="s">
        <v>715</v>
      </c>
      <c r="C385" s="72" t="s">
        <v>27</v>
      </c>
      <c r="D385" s="72" t="s">
        <v>722</v>
      </c>
      <c r="E385" s="72" t="s">
        <v>720</v>
      </c>
      <c r="F385" s="72" t="s">
        <v>356</v>
      </c>
      <c r="G385" s="90">
        <v>72</v>
      </c>
      <c r="H385" s="74">
        <v>7.3</v>
      </c>
      <c r="I385" s="75">
        <f t="shared" si="13"/>
        <v>525.6</v>
      </c>
      <c r="J385" s="72" t="s">
        <v>366</v>
      </c>
      <c r="K385" s="71">
        <v>42459</v>
      </c>
      <c r="L385" s="105" t="s">
        <v>119</v>
      </c>
      <c r="M385" s="78"/>
    </row>
    <row r="386" spans="1:13" s="79" customFormat="1" ht="17.25" customHeight="1">
      <c r="A386" s="71">
        <v>42332</v>
      </c>
      <c r="B386" s="72" t="s">
        <v>702</v>
      </c>
      <c r="C386" s="72" t="s">
        <v>27</v>
      </c>
      <c r="D386" s="72" t="s">
        <v>723</v>
      </c>
      <c r="E386" s="72" t="s">
        <v>724</v>
      </c>
      <c r="F386" s="72" t="s">
        <v>437</v>
      </c>
      <c r="G386" s="73">
        <v>1800</v>
      </c>
      <c r="H386" s="74">
        <v>4.4000000000000004</v>
      </c>
      <c r="I386" s="75">
        <f t="shared" si="13"/>
        <v>7920.0000000000009</v>
      </c>
      <c r="J386" s="72" t="s">
        <v>174</v>
      </c>
      <c r="K386" s="71">
        <v>42472</v>
      </c>
      <c r="L386" s="72" t="s">
        <v>130</v>
      </c>
      <c r="M386" s="78"/>
    </row>
    <row r="387" spans="1:13" s="79" customFormat="1" ht="17.25" customHeight="1">
      <c r="A387" s="71">
        <v>42332</v>
      </c>
      <c r="B387" s="72" t="s">
        <v>702</v>
      </c>
      <c r="C387" s="72" t="s">
        <v>27</v>
      </c>
      <c r="D387" s="72" t="s">
        <v>725</v>
      </c>
      <c r="E387" s="72" t="s">
        <v>724</v>
      </c>
      <c r="F387" s="72" t="s">
        <v>437</v>
      </c>
      <c r="G387" s="73">
        <v>1800</v>
      </c>
      <c r="H387" s="74">
        <v>4.4000000000000004</v>
      </c>
      <c r="I387" s="75">
        <f t="shared" si="13"/>
        <v>7920.0000000000009</v>
      </c>
      <c r="J387" s="72" t="s">
        <v>174</v>
      </c>
      <c r="K387" s="71">
        <v>42472</v>
      </c>
      <c r="L387" s="72" t="s">
        <v>130</v>
      </c>
      <c r="M387" s="78"/>
    </row>
    <row r="388" spans="1:13" s="79" customFormat="1" ht="17.25" customHeight="1">
      <c r="A388" s="71">
        <v>42355</v>
      </c>
      <c r="B388" s="72" t="s">
        <v>702</v>
      </c>
      <c r="C388" s="72" t="s">
        <v>29</v>
      </c>
      <c r="D388" s="72" t="s">
        <v>726</v>
      </c>
      <c r="E388" s="72" t="s">
        <v>727</v>
      </c>
      <c r="F388" s="72" t="s">
        <v>356</v>
      </c>
      <c r="G388" s="73">
        <v>120</v>
      </c>
      <c r="H388" s="74">
        <v>5.45</v>
      </c>
      <c r="I388" s="75">
        <f t="shared" si="13"/>
        <v>654</v>
      </c>
      <c r="J388" s="72" t="s">
        <v>174</v>
      </c>
      <c r="K388" s="71">
        <v>42473</v>
      </c>
      <c r="L388" s="72" t="s">
        <v>130</v>
      </c>
      <c r="M388" s="78"/>
    </row>
    <row r="389" spans="1:13" s="79" customFormat="1" ht="17.25" customHeight="1">
      <c r="A389" s="71">
        <v>42355</v>
      </c>
      <c r="B389" s="72" t="s">
        <v>702</v>
      </c>
      <c r="C389" s="72" t="s">
        <v>29</v>
      </c>
      <c r="D389" s="72" t="s">
        <v>728</v>
      </c>
      <c r="E389" s="72" t="s">
        <v>727</v>
      </c>
      <c r="F389" s="72" t="s">
        <v>356</v>
      </c>
      <c r="G389" s="73">
        <v>4680</v>
      </c>
      <c r="H389" s="74">
        <v>5.45</v>
      </c>
      <c r="I389" s="75">
        <f t="shared" si="13"/>
        <v>25506</v>
      </c>
      <c r="J389" s="72" t="s">
        <v>174</v>
      </c>
      <c r="K389" s="71">
        <v>42473</v>
      </c>
      <c r="L389" s="72" t="s">
        <v>130</v>
      </c>
      <c r="M389" s="78"/>
    </row>
    <row r="390" spans="1:13" s="79" customFormat="1" ht="17.25" customHeight="1">
      <c r="A390" s="71">
        <v>42355</v>
      </c>
      <c r="B390" s="72" t="s">
        <v>702</v>
      </c>
      <c r="C390" s="72" t="s">
        <v>29</v>
      </c>
      <c r="D390" s="72" t="s">
        <v>729</v>
      </c>
      <c r="E390" s="72" t="s">
        <v>727</v>
      </c>
      <c r="F390" s="72" t="s">
        <v>356</v>
      </c>
      <c r="G390" s="73">
        <v>2010</v>
      </c>
      <c r="H390" s="74">
        <v>5.45</v>
      </c>
      <c r="I390" s="75">
        <f t="shared" si="13"/>
        <v>10954.5</v>
      </c>
      <c r="J390" s="72" t="s">
        <v>174</v>
      </c>
      <c r="K390" s="71">
        <v>42473</v>
      </c>
      <c r="L390" s="72" t="s">
        <v>130</v>
      </c>
      <c r="M390" s="78"/>
    </row>
    <row r="391" spans="1:13" s="79" customFormat="1" ht="17.25" customHeight="1">
      <c r="A391" s="71">
        <v>42356</v>
      </c>
      <c r="B391" s="72" t="s">
        <v>702</v>
      </c>
      <c r="C391" s="72" t="s">
        <v>27</v>
      </c>
      <c r="D391" s="72" t="s">
        <v>730</v>
      </c>
      <c r="E391" s="72" t="s">
        <v>731</v>
      </c>
      <c r="F391" s="72" t="s">
        <v>356</v>
      </c>
      <c r="G391" s="73">
        <v>1813</v>
      </c>
      <c r="H391" s="74">
        <v>5.7</v>
      </c>
      <c r="I391" s="75">
        <f t="shared" si="13"/>
        <v>10334.1</v>
      </c>
      <c r="J391" s="72" t="s">
        <v>228</v>
      </c>
      <c r="K391" s="71">
        <v>42480</v>
      </c>
      <c r="L391" s="72" t="s">
        <v>130</v>
      </c>
      <c r="M391" s="78"/>
    </row>
    <row r="392" spans="1:13" s="79" customFormat="1" ht="17.25" customHeight="1">
      <c r="A392" s="71">
        <v>42356</v>
      </c>
      <c r="B392" s="72" t="s">
        <v>702</v>
      </c>
      <c r="C392" s="72" t="s">
        <v>27</v>
      </c>
      <c r="D392" s="72" t="s">
        <v>732</v>
      </c>
      <c r="E392" s="72" t="s">
        <v>731</v>
      </c>
      <c r="F392" s="72" t="s">
        <v>356</v>
      </c>
      <c r="G392" s="73">
        <v>1206</v>
      </c>
      <c r="H392" s="74">
        <v>5.7</v>
      </c>
      <c r="I392" s="75">
        <f t="shared" si="13"/>
        <v>6874.2</v>
      </c>
      <c r="J392" s="72" t="s">
        <v>228</v>
      </c>
      <c r="K392" s="71">
        <v>42480</v>
      </c>
      <c r="L392" s="72" t="s">
        <v>130</v>
      </c>
      <c r="M392" s="78"/>
    </row>
    <row r="393" spans="1:13" s="79" customFormat="1" ht="17.25" customHeight="1">
      <c r="A393" s="71">
        <v>42356</v>
      </c>
      <c r="B393" s="72" t="s">
        <v>702</v>
      </c>
      <c r="C393" s="72" t="s">
        <v>27</v>
      </c>
      <c r="D393" s="72" t="s">
        <v>733</v>
      </c>
      <c r="E393" s="72" t="s">
        <v>734</v>
      </c>
      <c r="F393" s="72" t="s">
        <v>356</v>
      </c>
      <c r="G393" s="73">
        <v>942</v>
      </c>
      <c r="H393" s="74">
        <v>6.5</v>
      </c>
      <c r="I393" s="75">
        <f t="shared" si="13"/>
        <v>6123</v>
      </c>
      <c r="J393" s="72" t="s">
        <v>228</v>
      </c>
      <c r="K393" s="71">
        <v>42480</v>
      </c>
      <c r="L393" s="72" t="s">
        <v>130</v>
      </c>
      <c r="M393" s="78"/>
    </row>
    <row r="394" spans="1:13" s="79" customFormat="1" ht="17.25" customHeight="1">
      <c r="A394" s="71">
        <v>42356</v>
      </c>
      <c r="B394" s="72" t="s">
        <v>702</v>
      </c>
      <c r="C394" s="72" t="s">
        <v>27</v>
      </c>
      <c r="D394" s="72" t="s">
        <v>735</v>
      </c>
      <c r="E394" s="72" t="s">
        <v>734</v>
      </c>
      <c r="F394" s="72" t="s">
        <v>356</v>
      </c>
      <c r="G394" s="73">
        <v>408</v>
      </c>
      <c r="H394" s="74">
        <v>6.5</v>
      </c>
      <c r="I394" s="75">
        <f t="shared" si="13"/>
        <v>2652</v>
      </c>
      <c r="J394" s="72" t="s">
        <v>228</v>
      </c>
      <c r="K394" s="71">
        <v>42480</v>
      </c>
      <c r="L394" s="72" t="s">
        <v>130</v>
      </c>
      <c r="M394" s="78"/>
    </row>
    <row r="395" spans="1:13" s="79" customFormat="1" ht="17.25" customHeight="1">
      <c r="A395" s="71">
        <v>42360</v>
      </c>
      <c r="B395" s="72" t="s">
        <v>702</v>
      </c>
      <c r="C395" s="72" t="s">
        <v>27</v>
      </c>
      <c r="D395" s="72" t="s">
        <v>736</v>
      </c>
      <c r="E395" s="72" t="s">
        <v>737</v>
      </c>
      <c r="F395" s="72" t="s">
        <v>738</v>
      </c>
      <c r="G395" s="73">
        <v>2652</v>
      </c>
      <c r="H395" s="74">
        <v>5.25</v>
      </c>
      <c r="I395" s="75">
        <f t="shared" si="13"/>
        <v>13923</v>
      </c>
      <c r="J395" s="72" t="s">
        <v>136</v>
      </c>
      <c r="K395" s="71">
        <v>42494</v>
      </c>
      <c r="L395" s="72" t="s">
        <v>130</v>
      </c>
      <c r="M395" s="78"/>
    </row>
    <row r="396" spans="1:13" s="79" customFormat="1" ht="17.25" customHeight="1">
      <c r="A396" s="71">
        <v>42387</v>
      </c>
      <c r="B396" s="72" t="s">
        <v>702</v>
      </c>
      <c r="C396" s="72" t="s">
        <v>27</v>
      </c>
      <c r="D396" s="72" t="s">
        <v>739</v>
      </c>
      <c r="E396" s="72" t="s">
        <v>737</v>
      </c>
      <c r="F396" s="72"/>
      <c r="G396" s="73">
        <v>6</v>
      </c>
      <c r="H396" s="74">
        <v>5.25</v>
      </c>
      <c r="I396" s="75">
        <f t="shared" si="13"/>
        <v>31.5</v>
      </c>
      <c r="J396" s="72" t="s">
        <v>136</v>
      </c>
      <c r="K396" s="71">
        <v>42494</v>
      </c>
      <c r="L396" s="72" t="s">
        <v>130</v>
      </c>
      <c r="M396" s="78"/>
    </row>
    <row r="397" spans="1:13" s="79" customFormat="1" ht="17.25" customHeight="1">
      <c r="A397" s="71">
        <v>42360</v>
      </c>
      <c r="B397" s="72" t="s">
        <v>702</v>
      </c>
      <c r="C397" s="72" t="s">
        <v>27</v>
      </c>
      <c r="D397" s="72" t="s">
        <v>740</v>
      </c>
      <c r="E397" s="72" t="s">
        <v>741</v>
      </c>
      <c r="F397" s="72" t="s">
        <v>738</v>
      </c>
      <c r="G397" s="73">
        <v>2652</v>
      </c>
      <c r="H397" s="74">
        <v>6</v>
      </c>
      <c r="I397" s="75">
        <f t="shared" si="13"/>
        <v>15912</v>
      </c>
      <c r="J397" s="72" t="s">
        <v>136</v>
      </c>
      <c r="K397" s="71">
        <v>42494</v>
      </c>
      <c r="L397" s="72" t="s">
        <v>130</v>
      </c>
      <c r="M397" s="78"/>
    </row>
    <row r="398" spans="1:13" s="79" customFormat="1" ht="17.25" customHeight="1">
      <c r="A398" s="71">
        <v>42361</v>
      </c>
      <c r="B398" s="72" t="s">
        <v>702</v>
      </c>
      <c r="C398" s="72" t="s">
        <v>27</v>
      </c>
      <c r="D398" s="72" t="s">
        <v>742</v>
      </c>
      <c r="E398" s="72" t="s">
        <v>743</v>
      </c>
      <c r="F398" s="117" t="s">
        <v>356</v>
      </c>
      <c r="G398" s="73">
        <v>1813</v>
      </c>
      <c r="H398" s="74">
        <v>4.6500000000000004</v>
      </c>
      <c r="I398" s="75">
        <f t="shared" si="13"/>
        <v>8430.4500000000007</v>
      </c>
      <c r="J398" s="72" t="s">
        <v>228</v>
      </c>
      <c r="K398" s="71">
        <v>42480</v>
      </c>
      <c r="L398" s="99" t="s">
        <v>130</v>
      </c>
      <c r="M398" s="78"/>
    </row>
    <row r="399" spans="1:13" s="79" customFormat="1" ht="17.25" customHeight="1">
      <c r="A399" s="71">
        <v>42361</v>
      </c>
      <c r="B399" s="72" t="s">
        <v>702</v>
      </c>
      <c r="C399" s="72" t="s">
        <v>27</v>
      </c>
      <c r="D399" s="72" t="s">
        <v>744</v>
      </c>
      <c r="E399" s="72" t="s">
        <v>743</v>
      </c>
      <c r="F399" s="117" t="s">
        <v>356</v>
      </c>
      <c r="G399" s="73">
        <v>1206</v>
      </c>
      <c r="H399" s="74">
        <v>4.6500000000000004</v>
      </c>
      <c r="I399" s="75">
        <f t="shared" si="13"/>
        <v>5607.9000000000005</v>
      </c>
      <c r="J399" s="72" t="s">
        <v>228</v>
      </c>
      <c r="K399" s="71">
        <v>42480</v>
      </c>
      <c r="L399" s="99" t="s">
        <v>130</v>
      </c>
      <c r="M399" s="78"/>
    </row>
    <row r="400" spans="1:13" s="79" customFormat="1" ht="17.25" customHeight="1">
      <c r="A400" s="71">
        <v>42361</v>
      </c>
      <c r="B400" s="72" t="s">
        <v>702</v>
      </c>
      <c r="C400" s="72" t="s">
        <v>27</v>
      </c>
      <c r="D400" s="72" t="s">
        <v>745</v>
      </c>
      <c r="E400" s="72" t="s">
        <v>743</v>
      </c>
      <c r="F400" s="117" t="s">
        <v>356</v>
      </c>
      <c r="G400" s="73">
        <v>120</v>
      </c>
      <c r="H400" s="74">
        <v>4.6500000000000004</v>
      </c>
      <c r="I400" s="75">
        <f t="shared" si="13"/>
        <v>558</v>
      </c>
      <c r="J400" s="72" t="s">
        <v>228</v>
      </c>
      <c r="K400" s="71">
        <v>42480</v>
      </c>
      <c r="L400" s="99" t="s">
        <v>130</v>
      </c>
      <c r="M400" s="78"/>
    </row>
    <row r="401" spans="1:13" s="79" customFormat="1" ht="17.25" customHeight="1">
      <c r="A401" s="71">
        <v>42362</v>
      </c>
      <c r="B401" s="72" t="s">
        <v>702</v>
      </c>
      <c r="C401" s="72" t="s">
        <v>27</v>
      </c>
      <c r="D401" s="72" t="s">
        <v>746</v>
      </c>
      <c r="E401" s="72" t="s">
        <v>747</v>
      </c>
      <c r="F401" s="117" t="s">
        <v>356</v>
      </c>
      <c r="G401" s="73">
        <v>120</v>
      </c>
      <c r="H401" s="74">
        <v>5.75</v>
      </c>
      <c r="I401" s="75">
        <f t="shared" si="13"/>
        <v>690</v>
      </c>
      <c r="J401" s="72" t="s">
        <v>228</v>
      </c>
      <c r="K401" s="71">
        <v>42480</v>
      </c>
      <c r="L401" s="99" t="s">
        <v>130</v>
      </c>
      <c r="M401" s="78"/>
    </row>
    <row r="402" spans="1:13" s="79" customFormat="1" ht="17.25" customHeight="1">
      <c r="A402" s="71">
        <v>42362</v>
      </c>
      <c r="B402" s="72" t="s">
        <v>702</v>
      </c>
      <c r="C402" s="72" t="s">
        <v>27</v>
      </c>
      <c r="D402" s="72" t="s">
        <v>748</v>
      </c>
      <c r="E402" s="72" t="s">
        <v>747</v>
      </c>
      <c r="F402" s="117" t="s">
        <v>356</v>
      </c>
      <c r="G402" s="73">
        <v>1638</v>
      </c>
      <c r="H402" s="74">
        <v>5.75</v>
      </c>
      <c r="I402" s="75">
        <f t="shared" si="13"/>
        <v>9418.5</v>
      </c>
      <c r="J402" s="72" t="s">
        <v>228</v>
      </c>
      <c r="K402" s="71">
        <v>42480</v>
      </c>
      <c r="L402" s="99" t="s">
        <v>130</v>
      </c>
      <c r="M402" s="78"/>
    </row>
    <row r="403" spans="1:13" s="79" customFormat="1" ht="17.25" customHeight="1">
      <c r="A403" s="71">
        <v>42362</v>
      </c>
      <c r="B403" s="72" t="s">
        <v>702</v>
      </c>
      <c r="C403" s="72" t="s">
        <v>27</v>
      </c>
      <c r="D403" s="72" t="s">
        <v>749</v>
      </c>
      <c r="E403" s="72" t="s">
        <v>747</v>
      </c>
      <c r="F403" s="117" t="s">
        <v>356</v>
      </c>
      <c r="G403" s="73">
        <v>702</v>
      </c>
      <c r="H403" s="74">
        <v>5.75</v>
      </c>
      <c r="I403" s="75">
        <f t="shared" si="13"/>
        <v>4036.5</v>
      </c>
      <c r="J403" s="72" t="s">
        <v>228</v>
      </c>
      <c r="K403" s="71">
        <v>42480</v>
      </c>
      <c r="L403" s="99" t="s">
        <v>130</v>
      </c>
      <c r="M403" s="78"/>
    </row>
    <row r="404" spans="1:13" s="79" customFormat="1" ht="17.25" customHeight="1">
      <c r="A404" s="71">
        <v>42367</v>
      </c>
      <c r="B404" s="72" t="s">
        <v>702</v>
      </c>
      <c r="C404" s="72" t="s">
        <v>27</v>
      </c>
      <c r="D404" s="72" t="s">
        <v>750</v>
      </c>
      <c r="E404" s="72" t="s">
        <v>751</v>
      </c>
      <c r="F404" s="117" t="s">
        <v>705</v>
      </c>
      <c r="G404" s="73">
        <v>496</v>
      </c>
      <c r="H404" s="74">
        <v>7.1</v>
      </c>
      <c r="I404" s="75">
        <f t="shared" si="13"/>
        <v>3521.6</v>
      </c>
      <c r="J404" s="72" t="s">
        <v>165</v>
      </c>
      <c r="K404" s="71">
        <v>42529</v>
      </c>
      <c r="L404" s="99" t="s">
        <v>130</v>
      </c>
      <c r="M404" s="78"/>
    </row>
    <row r="405" spans="1:13" s="79" customFormat="1" ht="17.25" customHeight="1">
      <c r="A405" s="71">
        <v>42367</v>
      </c>
      <c r="B405" s="72" t="s">
        <v>702</v>
      </c>
      <c r="C405" s="72" t="s">
        <v>27</v>
      </c>
      <c r="D405" s="72" t="s">
        <v>752</v>
      </c>
      <c r="E405" s="72" t="s">
        <v>751</v>
      </c>
      <c r="F405" s="117" t="s">
        <v>705</v>
      </c>
      <c r="G405" s="73">
        <v>648</v>
      </c>
      <c r="H405" s="74">
        <v>7.1</v>
      </c>
      <c r="I405" s="75">
        <f t="shared" si="13"/>
        <v>4600.8</v>
      </c>
      <c r="J405" s="72" t="s">
        <v>165</v>
      </c>
      <c r="K405" s="76">
        <v>42529</v>
      </c>
      <c r="L405" s="99" t="s">
        <v>130</v>
      </c>
      <c r="M405" s="78"/>
    </row>
    <row r="406" spans="1:13" s="79" customFormat="1" ht="17.25" customHeight="1">
      <c r="A406" s="71">
        <v>42367</v>
      </c>
      <c r="B406" s="72" t="s">
        <v>702</v>
      </c>
      <c r="C406" s="72" t="s">
        <v>27</v>
      </c>
      <c r="D406" s="72" t="s">
        <v>753</v>
      </c>
      <c r="E406" s="72" t="s">
        <v>751</v>
      </c>
      <c r="F406" s="117" t="s">
        <v>705</v>
      </c>
      <c r="G406" s="73">
        <v>1768</v>
      </c>
      <c r="H406" s="74">
        <v>7.1</v>
      </c>
      <c r="I406" s="75">
        <f t="shared" si="13"/>
        <v>12552.8</v>
      </c>
      <c r="J406" s="72" t="s">
        <v>165</v>
      </c>
      <c r="K406" s="71">
        <v>42529</v>
      </c>
      <c r="L406" s="99" t="s">
        <v>130</v>
      </c>
      <c r="M406" s="78"/>
    </row>
    <row r="407" spans="1:13" s="79" customFormat="1" ht="17.25" customHeight="1">
      <c r="A407" s="71">
        <v>42367</v>
      </c>
      <c r="B407" s="72" t="s">
        <v>702</v>
      </c>
      <c r="C407" s="72" t="s">
        <v>27</v>
      </c>
      <c r="D407" s="72" t="s">
        <v>754</v>
      </c>
      <c r="E407" s="72" t="s">
        <v>751</v>
      </c>
      <c r="F407" s="117" t="s">
        <v>705</v>
      </c>
      <c r="G407" s="73">
        <v>48</v>
      </c>
      <c r="H407" s="74">
        <v>6.9</v>
      </c>
      <c r="I407" s="75">
        <f t="shared" si="13"/>
        <v>331.20000000000005</v>
      </c>
      <c r="J407" s="72" t="s">
        <v>165</v>
      </c>
      <c r="K407" s="71">
        <v>42529</v>
      </c>
      <c r="L407" s="99" t="s">
        <v>130</v>
      </c>
      <c r="M407" s="78"/>
    </row>
    <row r="408" spans="1:13" s="79" customFormat="1" ht="17.25" customHeight="1">
      <c r="A408" s="71">
        <v>42375</v>
      </c>
      <c r="B408" s="72" t="s">
        <v>702</v>
      </c>
      <c r="C408" s="72" t="s">
        <v>27</v>
      </c>
      <c r="D408" s="72" t="s">
        <v>755</v>
      </c>
      <c r="E408" s="72" t="s">
        <v>756</v>
      </c>
      <c r="F408" s="117"/>
      <c r="G408" s="73">
        <v>624</v>
      </c>
      <c r="H408" s="74">
        <v>8.1</v>
      </c>
      <c r="I408" s="75">
        <f t="shared" si="13"/>
        <v>5054.3999999999996</v>
      </c>
      <c r="J408" s="72" t="s">
        <v>165</v>
      </c>
      <c r="K408" s="71">
        <v>42529</v>
      </c>
      <c r="L408" s="99" t="s">
        <v>130</v>
      </c>
      <c r="M408" s="78"/>
    </row>
    <row r="409" spans="1:13" s="79" customFormat="1" ht="17.25" customHeight="1">
      <c r="A409" s="71">
        <v>42375</v>
      </c>
      <c r="B409" s="72" t="s">
        <v>702</v>
      </c>
      <c r="C409" s="72" t="s">
        <v>27</v>
      </c>
      <c r="D409" s="72" t="s">
        <v>757</v>
      </c>
      <c r="E409" s="72" t="s">
        <v>756</v>
      </c>
      <c r="F409" s="117"/>
      <c r="G409" s="73">
        <v>72</v>
      </c>
      <c r="H409" s="74">
        <v>8.1</v>
      </c>
      <c r="I409" s="75">
        <f t="shared" si="13"/>
        <v>583.19999999999993</v>
      </c>
      <c r="J409" s="72" t="s">
        <v>165</v>
      </c>
      <c r="K409" s="71">
        <v>42529</v>
      </c>
      <c r="L409" s="99" t="s">
        <v>130</v>
      </c>
      <c r="M409" s="78"/>
    </row>
    <row r="410" spans="1:13" s="79" customFormat="1" ht="17.25" customHeight="1">
      <c r="A410" s="71">
        <v>42375</v>
      </c>
      <c r="B410" s="72" t="s">
        <v>702</v>
      </c>
      <c r="C410" s="72" t="s">
        <v>27</v>
      </c>
      <c r="D410" s="72" t="s">
        <v>758</v>
      </c>
      <c r="E410" s="72" t="s">
        <v>756</v>
      </c>
      <c r="F410" s="117"/>
      <c r="G410" s="73">
        <v>56</v>
      </c>
      <c r="H410" s="74">
        <v>7.9</v>
      </c>
      <c r="I410" s="75">
        <f t="shared" si="13"/>
        <v>442.40000000000003</v>
      </c>
      <c r="J410" s="72" t="s">
        <v>165</v>
      </c>
      <c r="K410" s="71">
        <v>42529</v>
      </c>
      <c r="L410" s="99" t="s">
        <v>130</v>
      </c>
      <c r="M410" s="78"/>
    </row>
    <row r="411" spans="1:13" s="79" customFormat="1" ht="17.25" customHeight="1">
      <c r="A411" s="71">
        <v>42375</v>
      </c>
      <c r="B411" s="72" t="s">
        <v>702</v>
      </c>
      <c r="C411" s="72" t="s">
        <v>25</v>
      </c>
      <c r="D411" s="72" t="s">
        <v>759</v>
      </c>
      <c r="E411" s="72" t="s">
        <v>760</v>
      </c>
      <c r="F411" s="117"/>
      <c r="G411" s="91">
        <v>1400</v>
      </c>
      <c r="H411" s="74">
        <v>7</v>
      </c>
      <c r="I411" s="75">
        <f t="shared" si="13"/>
        <v>9800</v>
      </c>
      <c r="J411" s="72" t="s">
        <v>136</v>
      </c>
      <c r="K411" s="71">
        <v>42501</v>
      </c>
      <c r="L411" s="99" t="s">
        <v>130</v>
      </c>
      <c r="M411" s="78"/>
    </row>
    <row r="412" spans="1:13" s="79" customFormat="1" ht="17.25" customHeight="1">
      <c r="A412" s="71">
        <v>42375</v>
      </c>
      <c r="B412" s="72" t="s">
        <v>702</v>
      </c>
      <c r="C412" s="72" t="s">
        <v>25</v>
      </c>
      <c r="D412" s="72" t="s">
        <v>761</v>
      </c>
      <c r="E412" s="72" t="s">
        <v>760</v>
      </c>
      <c r="F412" s="117"/>
      <c r="G412" s="73">
        <v>16</v>
      </c>
      <c r="H412" s="74">
        <v>7</v>
      </c>
      <c r="I412" s="75">
        <f t="shared" si="13"/>
        <v>112</v>
      </c>
      <c r="J412" s="72" t="s">
        <v>136</v>
      </c>
      <c r="K412" s="71">
        <v>42501</v>
      </c>
      <c r="L412" s="99" t="s">
        <v>130</v>
      </c>
      <c r="M412" s="78"/>
    </row>
    <row r="413" spans="1:13" s="79" customFormat="1" ht="17.25" customHeight="1">
      <c r="A413" s="71">
        <v>42375</v>
      </c>
      <c r="B413" s="72" t="s">
        <v>702</v>
      </c>
      <c r="C413" s="72" t="s">
        <v>25</v>
      </c>
      <c r="D413" s="72" t="s">
        <v>762</v>
      </c>
      <c r="E413" s="72" t="s">
        <v>760</v>
      </c>
      <c r="F413" s="117"/>
      <c r="G413" s="73">
        <v>48</v>
      </c>
      <c r="H413" s="74">
        <v>6.8</v>
      </c>
      <c r="I413" s="75">
        <f t="shared" si="13"/>
        <v>326.39999999999998</v>
      </c>
      <c r="J413" s="72" t="s">
        <v>136</v>
      </c>
      <c r="K413" s="71">
        <v>42501</v>
      </c>
      <c r="L413" s="99" t="s">
        <v>130</v>
      </c>
      <c r="M413" s="78"/>
    </row>
    <row r="414" spans="1:13" s="79" customFormat="1" ht="17.25" customHeight="1">
      <c r="A414" s="71">
        <v>42375</v>
      </c>
      <c r="B414" s="72" t="s">
        <v>702</v>
      </c>
      <c r="C414" s="72" t="s">
        <v>27</v>
      </c>
      <c r="D414" s="72" t="s">
        <v>763</v>
      </c>
      <c r="E414" s="72" t="s">
        <v>764</v>
      </c>
      <c r="F414" s="117" t="s">
        <v>705</v>
      </c>
      <c r="G414" s="73">
        <v>280</v>
      </c>
      <c r="H414" s="74">
        <v>7</v>
      </c>
      <c r="I414" s="75">
        <f t="shared" si="13"/>
        <v>1960</v>
      </c>
      <c r="J414" s="72" t="s">
        <v>165</v>
      </c>
      <c r="K414" s="71">
        <v>42529</v>
      </c>
      <c r="L414" s="72" t="s">
        <v>130</v>
      </c>
      <c r="M414" s="78"/>
    </row>
    <row r="415" spans="1:13" s="79" customFormat="1" ht="17.25" customHeight="1">
      <c r="A415" s="71">
        <v>42375</v>
      </c>
      <c r="B415" s="72" t="s">
        <v>702</v>
      </c>
      <c r="C415" s="72" t="s">
        <v>27</v>
      </c>
      <c r="D415" s="72" t="s">
        <v>765</v>
      </c>
      <c r="E415" s="72" t="s">
        <v>764</v>
      </c>
      <c r="F415" s="117" t="s">
        <v>705</v>
      </c>
      <c r="G415" s="73">
        <v>352</v>
      </c>
      <c r="H415" s="74">
        <v>7</v>
      </c>
      <c r="I415" s="75">
        <f t="shared" si="13"/>
        <v>2464</v>
      </c>
      <c r="J415" s="72" t="s">
        <v>165</v>
      </c>
      <c r="K415" s="71">
        <v>42529</v>
      </c>
      <c r="L415" s="72" t="s">
        <v>130</v>
      </c>
      <c r="M415" s="78"/>
    </row>
    <row r="416" spans="1:13" s="79" customFormat="1" ht="17.25" customHeight="1">
      <c r="A416" s="71">
        <v>42375</v>
      </c>
      <c r="B416" s="72" t="s">
        <v>702</v>
      </c>
      <c r="C416" s="72" t="s">
        <v>27</v>
      </c>
      <c r="D416" s="72" t="s">
        <v>766</v>
      </c>
      <c r="E416" s="72" t="s">
        <v>764</v>
      </c>
      <c r="F416" s="117" t="s">
        <v>705</v>
      </c>
      <c r="G416" s="73">
        <v>920</v>
      </c>
      <c r="H416" s="74">
        <v>7</v>
      </c>
      <c r="I416" s="75">
        <f t="shared" si="13"/>
        <v>6440</v>
      </c>
      <c r="J416" s="72" t="s">
        <v>165</v>
      </c>
      <c r="K416" s="71">
        <v>42529</v>
      </c>
      <c r="L416" s="72" t="s">
        <v>130</v>
      </c>
      <c r="M416" s="78"/>
    </row>
    <row r="417" spans="1:13" s="79" customFormat="1" ht="17.25" customHeight="1">
      <c r="A417" s="71">
        <v>42375</v>
      </c>
      <c r="B417" s="72" t="s">
        <v>702</v>
      </c>
      <c r="C417" s="72" t="s">
        <v>27</v>
      </c>
      <c r="D417" s="72" t="s">
        <v>767</v>
      </c>
      <c r="E417" s="72" t="s">
        <v>764</v>
      </c>
      <c r="F417" s="117" t="s">
        <v>705</v>
      </c>
      <c r="G417" s="73">
        <v>36</v>
      </c>
      <c r="H417" s="74">
        <v>6.8</v>
      </c>
      <c r="I417" s="75">
        <f t="shared" si="13"/>
        <v>244.79999999999998</v>
      </c>
      <c r="J417" s="72" t="s">
        <v>165</v>
      </c>
      <c r="K417" s="71">
        <v>42529</v>
      </c>
      <c r="L417" s="72" t="s">
        <v>130</v>
      </c>
      <c r="M417" s="78"/>
    </row>
    <row r="418" spans="1:13" s="79" customFormat="1" ht="17.25" customHeight="1">
      <c r="A418" s="71">
        <v>42375</v>
      </c>
      <c r="B418" s="72" t="s">
        <v>702</v>
      </c>
      <c r="C418" s="72" t="s">
        <v>27</v>
      </c>
      <c r="D418" s="72" t="s">
        <v>768</v>
      </c>
      <c r="E418" s="72" t="s">
        <v>769</v>
      </c>
      <c r="F418" s="117"/>
      <c r="G418" s="73">
        <v>1392</v>
      </c>
      <c r="H418" s="112">
        <v>9</v>
      </c>
      <c r="I418" s="75">
        <f t="shared" si="13"/>
        <v>12528</v>
      </c>
      <c r="J418" s="72" t="s">
        <v>165</v>
      </c>
      <c r="K418" s="71">
        <v>42529</v>
      </c>
      <c r="L418" s="99" t="s">
        <v>130</v>
      </c>
      <c r="M418" s="78"/>
    </row>
    <row r="419" spans="1:13" s="79" customFormat="1" ht="17.25" customHeight="1">
      <c r="A419" s="71">
        <v>42375</v>
      </c>
      <c r="B419" s="72" t="s">
        <v>702</v>
      </c>
      <c r="C419" s="72" t="s">
        <v>27</v>
      </c>
      <c r="D419" s="72" t="s">
        <v>770</v>
      </c>
      <c r="E419" s="72" t="s">
        <v>769</v>
      </c>
      <c r="F419" s="117"/>
      <c r="G419" s="73">
        <v>72</v>
      </c>
      <c r="H419" s="118">
        <v>9</v>
      </c>
      <c r="I419" s="75">
        <f t="shared" si="13"/>
        <v>648</v>
      </c>
      <c r="J419" s="72" t="s">
        <v>165</v>
      </c>
      <c r="K419" s="71">
        <v>42529</v>
      </c>
      <c r="L419" s="99" t="s">
        <v>130</v>
      </c>
      <c r="M419" s="78"/>
    </row>
    <row r="420" spans="1:13" s="79" customFormat="1" ht="17.25" customHeight="1">
      <c r="A420" s="71">
        <v>42375</v>
      </c>
      <c r="B420" s="72" t="s">
        <v>702</v>
      </c>
      <c r="C420" s="72" t="s">
        <v>27</v>
      </c>
      <c r="D420" s="72" t="s">
        <v>771</v>
      </c>
      <c r="E420" s="72" t="s">
        <v>769</v>
      </c>
      <c r="F420" s="117"/>
      <c r="G420" s="73">
        <v>56</v>
      </c>
      <c r="H420" s="118">
        <v>8.8000000000000007</v>
      </c>
      <c r="I420" s="75">
        <f t="shared" si="13"/>
        <v>492.80000000000007</v>
      </c>
      <c r="J420" s="72" t="s">
        <v>165</v>
      </c>
      <c r="K420" s="71">
        <v>42529</v>
      </c>
      <c r="L420" s="99" t="s">
        <v>130</v>
      </c>
      <c r="M420" s="78"/>
    </row>
    <row r="421" spans="1:13" s="79" customFormat="1" ht="17.25" customHeight="1">
      <c r="A421" s="71">
        <v>42388</v>
      </c>
      <c r="B421" s="119" t="s">
        <v>702</v>
      </c>
      <c r="C421" s="72" t="s">
        <v>25</v>
      </c>
      <c r="D421" s="72" t="s">
        <v>772</v>
      </c>
      <c r="E421" s="72" t="s">
        <v>773</v>
      </c>
      <c r="F421" s="117"/>
      <c r="G421" s="73">
        <v>880</v>
      </c>
      <c r="H421" s="74">
        <v>6.85</v>
      </c>
      <c r="I421" s="75">
        <f t="shared" si="13"/>
        <v>6028</v>
      </c>
      <c r="J421" s="72" t="s">
        <v>232</v>
      </c>
      <c r="K421" s="71">
        <v>42501</v>
      </c>
      <c r="L421" s="99" t="s">
        <v>130</v>
      </c>
      <c r="M421" s="78"/>
    </row>
    <row r="422" spans="1:13" s="79" customFormat="1" ht="17.25" customHeight="1">
      <c r="A422" s="71">
        <v>42388</v>
      </c>
      <c r="B422" s="119" t="s">
        <v>702</v>
      </c>
      <c r="C422" s="72" t="s">
        <v>25</v>
      </c>
      <c r="D422" s="72" t="s">
        <v>774</v>
      </c>
      <c r="E422" s="72" t="s">
        <v>773</v>
      </c>
      <c r="F422" s="117"/>
      <c r="G422" s="73">
        <v>16</v>
      </c>
      <c r="H422" s="74">
        <v>6.85</v>
      </c>
      <c r="I422" s="75">
        <f t="shared" si="13"/>
        <v>109.6</v>
      </c>
      <c r="J422" s="72" t="s">
        <v>232</v>
      </c>
      <c r="K422" s="71">
        <v>42501</v>
      </c>
      <c r="L422" s="99" t="s">
        <v>130</v>
      </c>
      <c r="M422" s="78"/>
    </row>
    <row r="423" spans="1:13" s="79" customFormat="1" ht="17.25" customHeight="1">
      <c r="A423" s="71">
        <v>42388</v>
      </c>
      <c r="B423" s="119" t="s">
        <v>702</v>
      </c>
      <c r="C423" s="72" t="s">
        <v>25</v>
      </c>
      <c r="D423" s="72" t="s">
        <v>775</v>
      </c>
      <c r="E423" s="72" t="s">
        <v>773</v>
      </c>
      <c r="F423" s="117"/>
      <c r="G423" s="73">
        <v>48</v>
      </c>
      <c r="H423" s="74">
        <v>6.65</v>
      </c>
      <c r="I423" s="75">
        <f t="shared" si="13"/>
        <v>319.20000000000005</v>
      </c>
      <c r="J423" s="72" t="s">
        <v>232</v>
      </c>
      <c r="K423" s="71">
        <v>42501</v>
      </c>
      <c r="L423" s="99" t="s">
        <v>130</v>
      </c>
      <c r="M423" s="78"/>
    </row>
    <row r="424" spans="1:13" s="79" customFormat="1" ht="17.25" customHeight="1">
      <c r="A424" s="71">
        <v>42416</v>
      </c>
      <c r="B424" s="72" t="s">
        <v>702</v>
      </c>
      <c r="C424" s="72" t="s">
        <v>292</v>
      </c>
      <c r="D424" s="72" t="s">
        <v>776</v>
      </c>
      <c r="E424" s="72" t="s">
        <v>777</v>
      </c>
      <c r="F424" s="117" t="s">
        <v>173</v>
      </c>
      <c r="G424" s="73">
        <v>2664</v>
      </c>
      <c r="H424" s="74">
        <v>4.2</v>
      </c>
      <c r="I424" s="75">
        <f t="shared" si="13"/>
        <v>11188.800000000001</v>
      </c>
      <c r="J424" s="72" t="s">
        <v>118</v>
      </c>
      <c r="K424" s="71">
        <v>42522</v>
      </c>
      <c r="L424" s="99" t="s">
        <v>130</v>
      </c>
      <c r="M424" s="78"/>
    </row>
    <row r="425" spans="1:13" s="79" customFormat="1" ht="17.25" customHeight="1">
      <c r="A425" s="71">
        <v>42416</v>
      </c>
      <c r="B425" s="72" t="s">
        <v>702</v>
      </c>
      <c r="C425" s="72" t="s">
        <v>292</v>
      </c>
      <c r="D425" s="72" t="s">
        <v>778</v>
      </c>
      <c r="E425" s="72" t="s">
        <v>777</v>
      </c>
      <c r="F425" s="117" t="s">
        <v>446</v>
      </c>
      <c r="G425" s="73">
        <v>2400</v>
      </c>
      <c r="H425" s="74">
        <v>4.2</v>
      </c>
      <c r="I425" s="75">
        <f t="shared" si="13"/>
        <v>10080</v>
      </c>
      <c r="J425" s="72" t="s">
        <v>118</v>
      </c>
      <c r="K425" s="71">
        <v>42522</v>
      </c>
      <c r="L425" s="99" t="s">
        <v>130</v>
      </c>
      <c r="M425" s="78"/>
    </row>
    <row r="426" spans="1:13" s="79" customFormat="1" ht="17.25" customHeight="1">
      <c r="A426" s="71">
        <v>42416</v>
      </c>
      <c r="B426" s="72" t="s">
        <v>702</v>
      </c>
      <c r="C426" s="72" t="s">
        <v>292</v>
      </c>
      <c r="D426" s="72" t="s">
        <v>779</v>
      </c>
      <c r="E426" s="72" t="s">
        <v>777</v>
      </c>
      <c r="F426" s="117"/>
      <c r="G426" s="73">
        <v>96</v>
      </c>
      <c r="H426" s="74">
        <v>4</v>
      </c>
      <c r="I426" s="75">
        <f t="shared" si="13"/>
        <v>384</v>
      </c>
      <c r="J426" s="72" t="s">
        <v>118</v>
      </c>
      <c r="K426" s="71">
        <v>42522</v>
      </c>
      <c r="L426" s="99" t="s">
        <v>130</v>
      </c>
      <c r="M426" s="78"/>
    </row>
    <row r="427" spans="1:13" s="79" customFormat="1" ht="17.25" customHeight="1">
      <c r="A427" s="71">
        <v>42416</v>
      </c>
      <c r="B427" s="72" t="s">
        <v>702</v>
      </c>
      <c r="C427" s="72" t="s">
        <v>292</v>
      </c>
      <c r="D427" s="72" t="s">
        <v>780</v>
      </c>
      <c r="E427" s="72" t="s">
        <v>777</v>
      </c>
      <c r="F427" s="117" t="s">
        <v>558</v>
      </c>
      <c r="G427" s="73">
        <v>240</v>
      </c>
      <c r="H427" s="74">
        <v>4.2</v>
      </c>
      <c r="I427" s="75">
        <f t="shared" si="13"/>
        <v>1008</v>
      </c>
      <c r="J427" s="72" t="s">
        <v>118</v>
      </c>
      <c r="K427" s="71">
        <v>42522</v>
      </c>
      <c r="L427" s="99" t="s">
        <v>130</v>
      </c>
      <c r="M427" s="78"/>
    </row>
    <row r="428" spans="1:13" s="79" customFormat="1" ht="17.25" customHeight="1">
      <c r="A428" s="71">
        <v>42416</v>
      </c>
      <c r="B428" s="72" t="s">
        <v>702</v>
      </c>
      <c r="C428" s="72" t="s">
        <v>292</v>
      </c>
      <c r="D428" s="72" t="s">
        <v>781</v>
      </c>
      <c r="E428" s="72" t="s">
        <v>782</v>
      </c>
      <c r="F428" s="117" t="s">
        <v>173</v>
      </c>
      <c r="G428" s="73">
        <v>1752</v>
      </c>
      <c r="H428" s="74">
        <v>4.2</v>
      </c>
      <c r="I428" s="75">
        <f t="shared" si="13"/>
        <v>7358.4000000000005</v>
      </c>
      <c r="J428" s="72" t="s">
        <v>118</v>
      </c>
      <c r="K428" s="71">
        <v>42522</v>
      </c>
      <c r="L428" s="99" t="s">
        <v>130</v>
      </c>
      <c r="M428" s="78"/>
    </row>
    <row r="429" spans="1:13" s="79" customFormat="1" ht="17.25" customHeight="1">
      <c r="A429" s="71">
        <v>42416</v>
      </c>
      <c r="B429" s="72" t="s">
        <v>702</v>
      </c>
      <c r="C429" s="72" t="s">
        <v>292</v>
      </c>
      <c r="D429" s="72" t="s">
        <v>783</v>
      </c>
      <c r="E429" s="72" t="s">
        <v>782</v>
      </c>
      <c r="F429" s="117"/>
      <c r="G429" s="73">
        <v>48</v>
      </c>
      <c r="H429" s="74">
        <v>4</v>
      </c>
      <c r="I429" s="75">
        <f t="shared" si="13"/>
        <v>192</v>
      </c>
      <c r="J429" s="72" t="s">
        <v>118</v>
      </c>
      <c r="K429" s="71">
        <v>42522</v>
      </c>
      <c r="L429" s="99" t="s">
        <v>130</v>
      </c>
      <c r="M429" s="78"/>
    </row>
    <row r="430" spans="1:13" s="79" customFormat="1" ht="17.25" customHeight="1">
      <c r="A430" s="71">
        <v>42390</v>
      </c>
      <c r="B430" s="72" t="s">
        <v>702</v>
      </c>
      <c r="C430" s="72" t="s">
        <v>32</v>
      </c>
      <c r="D430" s="72" t="s">
        <v>784</v>
      </c>
      <c r="E430" s="72" t="s">
        <v>785</v>
      </c>
      <c r="F430" s="120" t="s">
        <v>786</v>
      </c>
      <c r="G430" s="73">
        <v>8017</v>
      </c>
      <c r="H430" s="74"/>
      <c r="I430" s="75">
        <f t="shared" si="13"/>
        <v>0</v>
      </c>
      <c r="J430" s="71">
        <v>42492</v>
      </c>
      <c r="K430" s="71">
        <v>42508</v>
      </c>
      <c r="L430" s="99" t="s">
        <v>130</v>
      </c>
      <c r="M430" s="78"/>
    </row>
    <row r="431" spans="1:13" s="79" customFormat="1" ht="17.25" customHeight="1">
      <c r="A431" s="71">
        <v>42390</v>
      </c>
      <c r="B431" s="72" t="s">
        <v>702</v>
      </c>
      <c r="C431" s="72" t="s">
        <v>32</v>
      </c>
      <c r="D431" s="72" t="s">
        <v>787</v>
      </c>
      <c r="E431" s="72" t="s">
        <v>785</v>
      </c>
      <c r="F431" s="120" t="s">
        <v>786</v>
      </c>
      <c r="G431" s="73">
        <v>421</v>
      </c>
      <c r="H431" s="74"/>
      <c r="I431" s="75">
        <f t="shared" si="13"/>
        <v>0</v>
      </c>
      <c r="J431" s="71">
        <v>42492</v>
      </c>
      <c r="K431" s="71">
        <v>42508</v>
      </c>
      <c r="L431" s="99" t="s">
        <v>130</v>
      </c>
      <c r="M431" s="78"/>
    </row>
    <row r="432" spans="1:13" s="79" customFormat="1" ht="17.25" customHeight="1">
      <c r="A432" s="71">
        <v>42390</v>
      </c>
      <c r="B432" s="72" t="s">
        <v>702</v>
      </c>
      <c r="C432" s="72" t="s">
        <v>32</v>
      </c>
      <c r="D432" s="72" t="s">
        <v>788</v>
      </c>
      <c r="E432" s="72" t="s">
        <v>785</v>
      </c>
      <c r="F432" s="120" t="s">
        <v>786</v>
      </c>
      <c r="G432" s="73">
        <v>10</v>
      </c>
      <c r="H432" s="74"/>
      <c r="I432" s="75">
        <f t="shared" si="13"/>
        <v>0</v>
      </c>
      <c r="J432" s="71">
        <v>42492</v>
      </c>
      <c r="K432" s="71">
        <v>42500</v>
      </c>
      <c r="L432" s="99" t="s">
        <v>130</v>
      </c>
      <c r="M432" s="78"/>
    </row>
    <row r="433" spans="1:13" s="79" customFormat="1" ht="17.25" customHeight="1">
      <c r="A433" s="71">
        <v>42402</v>
      </c>
      <c r="B433" s="72" t="s">
        <v>702</v>
      </c>
      <c r="C433" s="72" t="s">
        <v>31</v>
      </c>
      <c r="D433" s="72" t="s">
        <v>789</v>
      </c>
      <c r="E433" s="72" t="s">
        <v>790</v>
      </c>
      <c r="F433" s="120" t="s">
        <v>791</v>
      </c>
      <c r="G433" s="73">
        <v>3756</v>
      </c>
      <c r="H433" s="74"/>
      <c r="I433" s="75">
        <f t="shared" si="13"/>
        <v>0</v>
      </c>
      <c r="J433" s="71">
        <v>42506</v>
      </c>
      <c r="K433" s="71">
        <v>42529</v>
      </c>
      <c r="L433" s="99" t="s">
        <v>130</v>
      </c>
      <c r="M433" s="78"/>
    </row>
    <row r="434" spans="1:13" s="79" customFormat="1" ht="17.25" customHeight="1">
      <c r="A434" s="71">
        <v>42402</v>
      </c>
      <c r="B434" s="72" t="s">
        <v>702</v>
      </c>
      <c r="C434" s="72" t="s">
        <v>31</v>
      </c>
      <c r="D434" s="72" t="s">
        <v>792</v>
      </c>
      <c r="E434" s="72" t="s">
        <v>790</v>
      </c>
      <c r="F434" s="120" t="s">
        <v>791</v>
      </c>
      <c r="G434" s="73">
        <v>351</v>
      </c>
      <c r="H434" s="74"/>
      <c r="I434" s="75">
        <f t="shared" si="13"/>
        <v>0</v>
      </c>
      <c r="J434" s="71">
        <v>42506</v>
      </c>
      <c r="K434" s="71">
        <v>42529</v>
      </c>
      <c r="L434" s="99" t="s">
        <v>130</v>
      </c>
      <c r="M434" s="78"/>
    </row>
    <row r="435" spans="1:13" s="79" customFormat="1" ht="17.25" customHeight="1">
      <c r="A435" s="71">
        <v>42377</v>
      </c>
      <c r="B435" s="72" t="s">
        <v>702</v>
      </c>
      <c r="C435" s="72" t="s">
        <v>447</v>
      </c>
      <c r="D435" s="100" t="s">
        <v>793</v>
      </c>
      <c r="E435" s="72" t="s">
        <v>449</v>
      </c>
      <c r="F435" s="117" t="s">
        <v>437</v>
      </c>
      <c r="G435" s="90">
        <v>1800</v>
      </c>
      <c r="H435" s="74">
        <v>3.6</v>
      </c>
      <c r="I435" s="83">
        <f t="shared" si="13"/>
        <v>6480</v>
      </c>
      <c r="J435" s="72" t="s">
        <v>794</v>
      </c>
      <c r="K435" s="71">
        <v>42473</v>
      </c>
      <c r="L435" s="99" t="s">
        <v>130</v>
      </c>
      <c r="M435" s="78"/>
    </row>
    <row r="436" spans="1:13" s="79" customFormat="1" ht="17.25" customHeight="1">
      <c r="A436" s="71">
        <v>42383</v>
      </c>
      <c r="B436" s="72" t="s">
        <v>702</v>
      </c>
      <c r="C436" s="72" t="s">
        <v>26</v>
      </c>
      <c r="D436" s="100" t="s">
        <v>795</v>
      </c>
      <c r="E436" s="72" t="s">
        <v>796</v>
      </c>
      <c r="F436" s="117" t="s">
        <v>274</v>
      </c>
      <c r="G436" s="91">
        <v>4800</v>
      </c>
      <c r="H436" s="74">
        <v>4</v>
      </c>
      <c r="I436" s="83">
        <f t="shared" ref="I436:I440" si="14">G436*H436</f>
        <v>19200</v>
      </c>
      <c r="J436" s="72" t="s">
        <v>136</v>
      </c>
      <c r="K436" s="71">
        <v>42501</v>
      </c>
      <c r="L436" s="99" t="s">
        <v>130</v>
      </c>
      <c r="M436" s="78"/>
    </row>
    <row r="437" spans="1:13" s="79" customFormat="1" ht="17.25" customHeight="1">
      <c r="A437" s="71">
        <v>42390</v>
      </c>
      <c r="B437" s="72" t="s">
        <v>702</v>
      </c>
      <c r="C437" s="72" t="s">
        <v>26</v>
      </c>
      <c r="D437" s="100" t="s">
        <v>797</v>
      </c>
      <c r="E437" s="72" t="s">
        <v>798</v>
      </c>
      <c r="F437" s="117" t="s">
        <v>799</v>
      </c>
      <c r="G437" s="90">
        <v>3600</v>
      </c>
      <c r="H437" s="74">
        <v>4</v>
      </c>
      <c r="I437" s="83">
        <f t="shared" si="14"/>
        <v>14400</v>
      </c>
      <c r="J437" s="72" t="s">
        <v>136</v>
      </c>
      <c r="K437" s="71">
        <v>42501</v>
      </c>
      <c r="L437" s="99" t="s">
        <v>130</v>
      </c>
      <c r="M437" s="78"/>
    </row>
    <row r="438" spans="1:13" s="79" customFormat="1" ht="17.25" customHeight="1">
      <c r="A438" s="71">
        <v>42388</v>
      </c>
      <c r="B438" s="72" t="s">
        <v>702</v>
      </c>
      <c r="C438" s="72" t="s">
        <v>26</v>
      </c>
      <c r="D438" s="100" t="s">
        <v>800</v>
      </c>
      <c r="E438" s="72" t="s">
        <v>801</v>
      </c>
      <c r="F438" s="117" t="s">
        <v>274</v>
      </c>
      <c r="G438" s="90">
        <v>4800</v>
      </c>
      <c r="H438" s="112">
        <v>4.6500000000000004</v>
      </c>
      <c r="I438" s="83">
        <f t="shared" si="14"/>
        <v>22320</v>
      </c>
      <c r="J438" s="72" t="s">
        <v>136</v>
      </c>
      <c r="K438" s="71">
        <v>42501</v>
      </c>
      <c r="L438" s="99" t="s">
        <v>130</v>
      </c>
      <c r="M438" s="78"/>
    </row>
    <row r="439" spans="1:13" s="79" customFormat="1" ht="17.25" customHeight="1">
      <c r="A439" s="71">
        <v>42388</v>
      </c>
      <c r="B439" s="72" t="s">
        <v>702</v>
      </c>
      <c r="C439" s="72" t="s">
        <v>26</v>
      </c>
      <c r="D439" s="100" t="s">
        <v>802</v>
      </c>
      <c r="E439" s="72" t="s">
        <v>803</v>
      </c>
      <c r="F439" s="117" t="s">
        <v>274</v>
      </c>
      <c r="G439" s="90">
        <v>2400</v>
      </c>
      <c r="H439" s="74">
        <v>5.15</v>
      </c>
      <c r="I439" s="83">
        <f t="shared" si="14"/>
        <v>12360</v>
      </c>
      <c r="J439" s="72" t="s">
        <v>136</v>
      </c>
      <c r="K439" s="71">
        <v>42501</v>
      </c>
      <c r="L439" s="99" t="s">
        <v>130</v>
      </c>
      <c r="M439" s="78"/>
    </row>
    <row r="440" spans="1:13" s="79" customFormat="1" ht="17.25" customHeight="1">
      <c r="A440" s="71">
        <v>42415</v>
      </c>
      <c r="B440" s="72" t="s">
        <v>702</v>
      </c>
      <c r="C440" s="72" t="s">
        <v>26</v>
      </c>
      <c r="D440" s="100" t="s">
        <v>804</v>
      </c>
      <c r="E440" s="72" t="s">
        <v>805</v>
      </c>
      <c r="F440" s="117" t="s">
        <v>806</v>
      </c>
      <c r="G440" s="90">
        <v>3220</v>
      </c>
      <c r="H440" s="74">
        <v>4.6500000000000004</v>
      </c>
      <c r="I440" s="83">
        <f t="shared" si="14"/>
        <v>14973.000000000002</v>
      </c>
      <c r="J440" s="72" t="s">
        <v>286</v>
      </c>
      <c r="K440" s="71">
        <v>42522</v>
      </c>
      <c r="L440" s="99" t="s">
        <v>130</v>
      </c>
      <c r="M440" s="78"/>
    </row>
    <row r="441" spans="1:13" s="79" customFormat="1" ht="17.25" customHeight="1">
      <c r="A441" s="71">
        <v>42436</v>
      </c>
      <c r="B441" s="72" t="s">
        <v>807</v>
      </c>
      <c r="C441" s="72" t="s">
        <v>26</v>
      </c>
      <c r="D441" s="100" t="s">
        <v>808</v>
      </c>
      <c r="E441" s="72" t="s">
        <v>809</v>
      </c>
      <c r="F441" s="117" t="s">
        <v>274</v>
      </c>
      <c r="G441" s="90">
        <v>3600</v>
      </c>
      <c r="H441" s="74">
        <v>3.95</v>
      </c>
      <c r="I441" s="83">
        <f t="shared" ref="I441:I456" si="15">G441*H441</f>
        <v>14220</v>
      </c>
      <c r="J441" s="72" t="s">
        <v>286</v>
      </c>
      <c r="K441" s="71">
        <v>42523</v>
      </c>
      <c r="L441" s="99" t="s">
        <v>130</v>
      </c>
      <c r="M441" s="78"/>
    </row>
    <row r="442" spans="1:13" s="79" customFormat="1" ht="17.25" customHeight="1">
      <c r="A442" s="71">
        <v>42436</v>
      </c>
      <c r="B442" s="72" t="s">
        <v>807</v>
      </c>
      <c r="C442" s="72" t="s">
        <v>26</v>
      </c>
      <c r="D442" s="100" t="s">
        <v>810</v>
      </c>
      <c r="E442" s="72" t="s">
        <v>809</v>
      </c>
      <c r="F442" s="117" t="s">
        <v>489</v>
      </c>
      <c r="G442" s="90">
        <v>571</v>
      </c>
      <c r="H442" s="74">
        <v>3.95</v>
      </c>
      <c r="I442" s="83">
        <f t="shared" si="15"/>
        <v>2255.4500000000003</v>
      </c>
      <c r="J442" s="72" t="s">
        <v>224</v>
      </c>
      <c r="K442" s="71">
        <v>42536</v>
      </c>
      <c r="L442" s="99" t="s">
        <v>130</v>
      </c>
      <c r="M442" s="78"/>
    </row>
    <row r="443" spans="1:13" s="79" customFormat="1" ht="17.25" customHeight="1">
      <c r="A443" s="71">
        <v>42436</v>
      </c>
      <c r="B443" s="72" t="s">
        <v>807</v>
      </c>
      <c r="C443" s="72" t="s">
        <v>26</v>
      </c>
      <c r="D443" s="100" t="s">
        <v>811</v>
      </c>
      <c r="E443" s="72" t="s">
        <v>809</v>
      </c>
      <c r="F443" s="117" t="s">
        <v>227</v>
      </c>
      <c r="G443" s="90">
        <v>4756</v>
      </c>
      <c r="H443" s="74">
        <v>4.2</v>
      </c>
      <c r="I443" s="83">
        <f t="shared" si="15"/>
        <v>19975.2</v>
      </c>
      <c r="J443" s="72" t="s">
        <v>224</v>
      </c>
      <c r="K443" s="71">
        <v>42536</v>
      </c>
      <c r="L443" s="99" t="s">
        <v>130</v>
      </c>
      <c r="M443" s="78"/>
    </row>
    <row r="444" spans="1:13" s="79" customFormat="1" ht="17.25" customHeight="1">
      <c r="A444" s="71">
        <v>42436</v>
      </c>
      <c r="B444" s="72" t="s">
        <v>807</v>
      </c>
      <c r="C444" s="72" t="s">
        <v>26</v>
      </c>
      <c r="D444" s="100" t="s">
        <v>812</v>
      </c>
      <c r="E444" s="72" t="s">
        <v>809</v>
      </c>
      <c r="F444" s="117" t="s">
        <v>227</v>
      </c>
      <c r="G444" s="90">
        <v>56</v>
      </c>
      <c r="H444" s="74">
        <v>4.2</v>
      </c>
      <c r="I444" s="83">
        <f t="shared" si="15"/>
        <v>235.20000000000002</v>
      </c>
      <c r="J444" s="72" t="s">
        <v>254</v>
      </c>
      <c r="K444" s="71">
        <v>42487</v>
      </c>
      <c r="L444" s="99" t="s">
        <v>130</v>
      </c>
      <c r="M444" s="78"/>
    </row>
    <row r="445" spans="1:13" s="79" customFormat="1" ht="17.25" customHeight="1">
      <c r="A445" s="71">
        <v>42436</v>
      </c>
      <c r="B445" s="72" t="s">
        <v>807</v>
      </c>
      <c r="C445" s="72" t="s">
        <v>26</v>
      </c>
      <c r="D445" s="100" t="s">
        <v>813</v>
      </c>
      <c r="E445" s="72" t="s">
        <v>809</v>
      </c>
      <c r="F445" s="117" t="s">
        <v>227</v>
      </c>
      <c r="G445" s="90">
        <v>30</v>
      </c>
      <c r="H445" s="74">
        <v>4.2</v>
      </c>
      <c r="I445" s="83">
        <f t="shared" si="15"/>
        <v>126</v>
      </c>
      <c r="J445" s="72" t="s">
        <v>254</v>
      </c>
      <c r="K445" s="71">
        <v>42487</v>
      </c>
      <c r="L445" s="99" t="s">
        <v>130</v>
      </c>
      <c r="M445" s="78"/>
    </row>
    <row r="446" spans="1:13" s="79" customFormat="1" ht="17.25" customHeight="1">
      <c r="A446" s="71">
        <v>42436</v>
      </c>
      <c r="B446" s="72" t="s">
        <v>807</v>
      </c>
      <c r="C446" s="72" t="s">
        <v>26</v>
      </c>
      <c r="D446" s="100" t="s">
        <v>814</v>
      </c>
      <c r="E446" s="72" t="s">
        <v>809</v>
      </c>
      <c r="F446" s="117" t="s">
        <v>227</v>
      </c>
      <c r="G446" s="90">
        <v>26</v>
      </c>
      <c r="H446" s="74">
        <v>4.2</v>
      </c>
      <c r="I446" s="83">
        <f t="shared" si="15"/>
        <v>109.2</v>
      </c>
      <c r="J446" s="72" t="s">
        <v>254</v>
      </c>
      <c r="K446" s="71">
        <v>42487</v>
      </c>
      <c r="L446" s="99" t="s">
        <v>130</v>
      </c>
      <c r="M446" s="78"/>
    </row>
    <row r="447" spans="1:13" s="79" customFormat="1" ht="17.25" customHeight="1">
      <c r="A447" s="71">
        <v>42436</v>
      </c>
      <c r="B447" s="72" t="s">
        <v>807</v>
      </c>
      <c r="C447" s="72" t="s">
        <v>26</v>
      </c>
      <c r="D447" s="100" t="s">
        <v>815</v>
      </c>
      <c r="E447" s="72" t="s">
        <v>809</v>
      </c>
      <c r="F447" s="117" t="s">
        <v>227</v>
      </c>
      <c r="G447" s="90">
        <v>27</v>
      </c>
      <c r="H447" s="74">
        <v>4.2</v>
      </c>
      <c r="I447" s="83">
        <f t="shared" si="15"/>
        <v>113.4</v>
      </c>
      <c r="J447" s="72" t="s">
        <v>254</v>
      </c>
      <c r="K447" s="71">
        <v>42487</v>
      </c>
      <c r="L447" s="99" t="s">
        <v>130</v>
      </c>
      <c r="M447" s="78"/>
    </row>
    <row r="448" spans="1:13" s="79" customFormat="1" ht="17.25" customHeight="1">
      <c r="A448" s="71">
        <v>42436</v>
      </c>
      <c r="B448" s="72" t="s">
        <v>807</v>
      </c>
      <c r="C448" s="72" t="s">
        <v>26</v>
      </c>
      <c r="D448" s="100" t="s">
        <v>816</v>
      </c>
      <c r="E448" s="72" t="s">
        <v>809</v>
      </c>
      <c r="F448" s="117" t="s">
        <v>227</v>
      </c>
      <c r="G448" s="90">
        <v>30</v>
      </c>
      <c r="H448" s="74">
        <v>4.2</v>
      </c>
      <c r="I448" s="83">
        <f t="shared" si="15"/>
        <v>126</v>
      </c>
      <c r="J448" s="72" t="s">
        <v>254</v>
      </c>
      <c r="K448" s="71">
        <v>42487</v>
      </c>
      <c r="L448" s="99" t="s">
        <v>130</v>
      </c>
      <c r="M448" s="78"/>
    </row>
    <row r="449" spans="1:13" s="79" customFormat="1" ht="17.25" customHeight="1">
      <c r="A449" s="71">
        <v>42436</v>
      </c>
      <c r="B449" s="72" t="s">
        <v>807</v>
      </c>
      <c r="C449" s="72" t="s">
        <v>26</v>
      </c>
      <c r="D449" s="100" t="s">
        <v>817</v>
      </c>
      <c r="E449" s="72" t="s">
        <v>818</v>
      </c>
      <c r="F449" s="117" t="s">
        <v>274</v>
      </c>
      <c r="G449" s="90">
        <v>4800</v>
      </c>
      <c r="H449" s="74">
        <v>3.95</v>
      </c>
      <c r="I449" s="83">
        <f t="shared" si="15"/>
        <v>18960</v>
      </c>
      <c r="J449" s="72" t="s">
        <v>286</v>
      </c>
      <c r="K449" s="71">
        <v>42523</v>
      </c>
      <c r="L449" s="99" t="s">
        <v>130</v>
      </c>
      <c r="M449" s="78"/>
    </row>
    <row r="450" spans="1:13" s="79" customFormat="1" ht="17.25" customHeight="1">
      <c r="A450" s="71">
        <v>42436</v>
      </c>
      <c r="B450" s="72" t="s">
        <v>807</v>
      </c>
      <c r="C450" s="72" t="s">
        <v>26</v>
      </c>
      <c r="D450" s="100" t="s">
        <v>819</v>
      </c>
      <c r="E450" s="72" t="s">
        <v>818</v>
      </c>
      <c r="F450" s="117" t="s">
        <v>489</v>
      </c>
      <c r="G450" s="90">
        <v>1076</v>
      </c>
      <c r="H450" s="74">
        <v>3.95</v>
      </c>
      <c r="I450" s="83">
        <f t="shared" si="15"/>
        <v>4250.2</v>
      </c>
      <c r="J450" s="72" t="s">
        <v>224</v>
      </c>
      <c r="K450" s="71">
        <v>42536</v>
      </c>
      <c r="L450" s="99" t="s">
        <v>130</v>
      </c>
      <c r="M450" s="78"/>
    </row>
    <row r="451" spans="1:13" s="79" customFormat="1" ht="17.25" customHeight="1">
      <c r="A451" s="71">
        <v>42436</v>
      </c>
      <c r="B451" s="72" t="s">
        <v>807</v>
      </c>
      <c r="C451" s="72" t="s">
        <v>26</v>
      </c>
      <c r="D451" s="100" t="s">
        <v>820</v>
      </c>
      <c r="E451" s="72" t="s">
        <v>818</v>
      </c>
      <c r="F451" s="117" t="s">
        <v>227</v>
      </c>
      <c r="G451" s="90">
        <v>8859</v>
      </c>
      <c r="H451" s="74">
        <v>4.2</v>
      </c>
      <c r="I451" s="83">
        <f t="shared" si="15"/>
        <v>37207.800000000003</v>
      </c>
      <c r="J451" s="72" t="s">
        <v>224</v>
      </c>
      <c r="K451" s="71">
        <v>42536</v>
      </c>
      <c r="L451" s="99" t="s">
        <v>130</v>
      </c>
      <c r="M451" s="78"/>
    </row>
    <row r="452" spans="1:13" s="79" customFormat="1" ht="17.25" customHeight="1">
      <c r="A452" s="71">
        <v>42436</v>
      </c>
      <c r="B452" s="72" t="s">
        <v>807</v>
      </c>
      <c r="C452" s="72" t="s">
        <v>26</v>
      </c>
      <c r="D452" s="100" t="s">
        <v>821</v>
      </c>
      <c r="E452" s="72" t="s">
        <v>818</v>
      </c>
      <c r="F452" s="117" t="s">
        <v>227</v>
      </c>
      <c r="G452" s="90">
        <v>104</v>
      </c>
      <c r="H452" s="74">
        <v>4.2</v>
      </c>
      <c r="I452" s="83">
        <f t="shared" si="15"/>
        <v>436.8</v>
      </c>
      <c r="J452" s="72" t="s">
        <v>254</v>
      </c>
      <c r="K452" s="71">
        <v>42487</v>
      </c>
      <c r="L452" s="99" t="s">
        <v>130</v>
      </c>
      <c r="M452" s="78"/>
    </row>
    <row r="453" spans="1:13" s="79" customFormat="1" ht="17.25" customHeight="1">
      <c r="A453" s="71">
        <v>42436</v>
      </c>
      <c r="B453" s="72" t="s">
        <v>807</v>
      </c>
      <c r="C453" s="72" t="s">
        <v>26</v>
      </c>
      <c r="D453" s="100" t="s">
        <v>822</v>
      </c>
      <c r="E453" s="72" t="s">
        <v>818</v>
      </c>
      <c r="F453" s="117" t="s">
        <v>227</v>
      </c>
      <c r="G453" s="90">
        <v>48</v>
      </c>
      <c r="H453" s="74">
        <v>4.2</v>
      </c>
      <c r="I453" s="83">
        <f t="shared" si="15"/>
        <v>201.60000000000002</v>
      </c>
      <c r="J453" s="72" t="s">
        <v>254</v>
      </c>
      <c r="K453" s="71">
        <v>42487</v>
      </c>
      <c r="L453" s="99" t="s">
        <v>130</v>
      </c>
      <c r="M453" s="78"/>
    </row>
    <row r="454" spans="1:13" s="79" customFormat="1" ht="17.25" customHeight="1">
      <c r="A454" s="71">
        <v>42436</v>
      </c>
      <c r="B454" s="72" t="s">
        <v>807</v>
      </c>
      <c r="C454" s="72" t="s">
        <v>26</v>
      </c>
      <c r="D454" s="100" t="s">
        <v>823</v>
      </c>
      <c r="E454" s="72" t="s">
        <v>818</v>
      </c>
      <c r="F454" s="117" t="s">
        <v>227</v>
      </c>
      <c r="G454" s="90">
        <v>50</v>
      </c>
      <c r="H454" s="74">
        <v>4.2</v>
      </c>
      <c r="I454" s="83">
        <f t="shared" si="15"/>
        <v>210</v>
      </c>
      <c r="J454" s="72" t="s">
        <v>254</v>
      </c>
      <c r="K454" s="71">
        <v>42487</v>
      </c>
      <c r="L454" s="99" t="s">
        <v>130</v>
      </c>
      <c r="M454" s="78"/>
    </row>
    <row r="455" spans="1:13" s="79" customFormat="1" ht="17.25" customHeight="1">
      <c r="A455" s="71">
        <v>42436</v>
      </c>
      <c r="B455" s="72" t="s">
        <v>807</v>
      </c>
      <c r="C455" s="72" t="s">
        <v>26</v>
      </c>
      <c r="D455" s="100" t="s">
        <v>824</v>
      </c>
      <c r="E455" s="72" t="s">
        <v>818</v>
      </c>
      <c r="F455" s="117" t="s">
        <v>227</v>
      </c>
      <c r="G455" s="90">
        <v>48</v>
      </c>
      <c r="H455" s="74">
        <v>4.2</v>
      </c>
      <c r="I455" s="83">
        <f t="shared" si="15"/>
        <v>201.60000000000002</v>
      </c>
      <c r="J455" s="72" t="s">
        <v>254</v>
      </c>
      <c r="K455" s="71">
        <v>42487</v>
      </c>
      <c r="L455" s="99" t="s">
        <v>130</v>
      </c>
      <c r="M455" s="78"/>
    </row>
    <row r="456" spans="1:13" s="79" customFormat="1" ht="17.25" customHeight="1">
      <c r="A456" s="71">
        <v>42436</v>
      </c>
      <c r="B456" s="72" t="s">
        <v>807</v>
      </c>
      <c r="C456" s="72" t="s">
        <v>26</v>
      </c>
      <c r="D456" s="100" t="s">
        <v>825</v>
      </c>
      <c r="E456" s="72" t="s">
        <v>818</v>
      </c>
      <c r="F456" s="117" t="s">
        <v>227</v>
      </c>
      <c r="G456" s="90">
        <v>52</v>
      </c>
      <c r="H456" s="74">
        <v>4.2</v>
      </c>
      <c r="I456" s="83">
        <f t="shared" si="15"/>
        <v>218.4</v>
      </c>
      <c r="J456" s="72" t="s">
        <v>254</v>
      </c>
      <c r="K456" s="71">
        <v>42487</v>
      </c>
      <c r="L456" s="99" t="s">
        <v>130</v>
      </c>
      <c r="M456" s="78"/>
    </row>
    <row r="457" spans="1:13" s="79" customFormat="1" ht="17.25" customHeight="1">
      <c r="A457" s="89">
        <v>42347</v>
      </c>
      <c r="B457" s="72" t="s">
        <v>826</v>
      </c>
      <c r="C457" s="72" t="s">
        <v>386</v>
      </c>
      <c r="D457" s="72" t="s">
        <v>827</v>
      </c>
      <c r="E457" s="72" t="s">
        <v>828</v>
      </c>
      <c r="F457" s="117" t="s">
        <v>182</v>
      </c>
      <c r="G457" s="90">
        <v>1642</v>
      </c>
      <c r="H457" s="74">
        <v>5.29</v>
      </c>
      <c r="I457" s="83">
        <f t="shared" ref="I457:I467" si="16">G457*H457</f>
        <v>8686.18</v>
      </c>
      <c r="J457" s="72" t="s">
        <v>357</v>
      </c>
      <c r="K457" s="71">
        <v>42439</v>
      </c>
      <c r="L457" s="99" t="s">
        <v>353</v>
      </c>
      <c r="M457" s="78"/>
    </row>
    <row r="458" spans="1:13" s="79" customFormat="1" ht="17.25" customHeight="1">
      <c r="A458" s="89">
        <v>42373</v>
      </c>
      <c r="B458" s="72" t="s">
        <v>826</v>
      </c>
      <c r="C458" s="72" t="s">
        <v>350</v>
      </c>
      <c r="D458" s="72" t="s">
        <v>829</v>
      </c>
      <c r="E458" s="72" t="s">
        <v>830</v>
      </c>
      <c r="F458" s="117" t="s">
        <v>227</v>
      </c>
      <c r="G458" s="90">
        <v>18788</v>
      </c>
      <c r="H458" s="74">
        <v>5.35</v>
      </c>
      <c r="I458" s="83">
        <f t="shared" si="16"/>
        <v>100515.79999999999</v>
      </c>
      <c r="J458" s="72" t="s">
        <v>232</v>
      </c>
      <c r="K458" s="71">
        <v>42494</v>
      </c>
      <c r="L458" s="99" t="s">
        <v>353</v>
      </c>
      <c r="M458" s="78"/>
    </row>
    <row r="459" spans="1:13" s="79" customFormat="1" ht="17.25" customHeight="1">
      <c r="A459" s="89">
        <v>42373</v>
      </c>
      <c r="B459" s="72" t="s">
        <v>826</v>
      </c>
      <c r="C459" s="72" t="s">
        <v>350</v>
      </c>
      <c r="D459" s="72">
        <v>3603</v>
      </c>
      <c r="E459" s="72" t="s">
        <v>830</v>
      </c>
      <c r="F459" s="117" t="s">
        <v>227</v>
      </c>
      <c r="G459" s="90">
        <v>3538</v>
      </c>
      <c r="H459" s="74">
        <v>5.2</v>
      </c>
      <c r="I459" s="83">
        <f t="shared" si="16"/>
        <v>18397.600000000002</v>
      </c>
      <c r="J459" s="72" t="s">
        <v>232</v>
      </c>
      <c r="K459" s="71">
        <v>42494</v>
      </c>
      <c r="L459" s="99" t="s">
        <v>353</v>
      </c>
      <c r="M459" s="78"/>
    </row>
    <row r="460" spans="1:13" s="79" customFormat="1" ht="17.25" customHeight="1">
      <c r="A460" s="89">
        <v>42373</v>
      </c>
      <c r="B460" s="72" t="s">
        <v>826</v>
      </c>
      <c r="C460" s="72" t="s">
        <v>350</v>
      </c>
      <c r="D460" s="72" t="s">
        <v>831</v>
      </c>
      <c r="E460" s="72" t="s">
        <v>471</v>
      </c>
      <c r="F460" s="117" t="s">
        <v>446</v>
      </c>
      <c r="G460" s="90">
        <v>1560</v>
      </c>
      <c r="H460" s="74">
        <v>7.6</v>
      </c>
      <c r="I460" s="83">
        <f t="shared" si="16"/>
        <v>11856</v>
      </c>
      <c r="J460" s="72" t="s">
        <v>232</v>
      </c>
      <c r="K460" s="71">
        <v>42501</v>
      </c>
      <c r="L460" s="99" t="s">
        <v>353</v>
      </c>
      <c r="M460" s="78"/>
    </row>
    <row r="461" spans="1:13" s="79" customFormat="1" ht="17.25" customHeight="1">
      <c r="A461" s="71">
        <v>42331</v>
      </c>
      <c r="B461" s="72" t="s">
        <v>826</v>
      </c>
      <c r="C461" s="72" t="s">
        <v>447</v>
      </c>
      <c r="D461" s="72" t="s">
        <v>832</v>
      </c>
      <c r="E461" s="72" t="s">
        <v>833</v>
      </c>
      <c r="F461" s="117" t="s">
        <v>154</v>
      </c>
      <c r="G461" s="90">
        <v>46448</v>
      </c>
      <c r="H461" s="74">
        <v>3.85</v>
      </c>
      <c r="I461" s="83">
        <f t="shared" si="16"/>
        <v>178824.80000000002</v>
      </c>
      <c r="J461" s="72" t="s">
        <v>543</v>
      </c>
      <c r="K461" s="71">
        <v>42452</v>
      </c>
      <c r="L461" s="99" t="s">
        <v>130</v>
      </c>
      <c r="M461" s="78"/>
    </row>
    <row r="462" spans="1:13" s="79" customFormat="1" ht="17.25" customHeight="1">
      <c r="A462" s="71">
        <v>42278</v>
      </c>
      <c r="B462" s="72" t="s">
        <v>826</v>
      </c>
      <c r="C462" s="72" t="s">
        <v>292</v>
      </c>
      <c r="D462" s="72" t="s">
        <v>834</v>
      </c>
      <c r="E462" s="72" t="s">
        <v>835</v>
      </c>
      <c r="F462" s="117"/>
      <c r="G462" s="73">
        <v>2992</v>
      </c>
      <c r="H462" s="74">
        <v>3.47</v>
      </c>
      <c r="I462" s="83">
        <f t="shared" si="16"/>
        <v>10382.24</v>
      </c>
      <c r="J462" s="72" t="s">
        <v>836</v>
      </c>
      <c r="K462" s="72" t="s">
        <v>836</v>
      </c>
      <c r="L462" s="99" t="s">
        <v>130</v>
      </c>
      <c r="M462" s="78"/>
    </row>
    <row r="463" spans="1:13" s="79" customFormat="1" ht="17.25" customHeight="1">
      <c r="A463" s="71">
        <v>42278</v>
      </c>
      <c r="B463" s="72" t="s">
        <v>826</v>
      </c>
      <c r="C463" s="72" t="s">
        <v>292</v>
      </c>
      <c r="D463" s="72" t="s">
        <v>837</v>
      </c>
      <c r="E463" s="72" t="s">
        <v>835</v>
      </c>
      <c r="F463" s="117"/>
      <c r="G463" s="107">
        <v>1461</v>
      </c>
      <c r="H463" s="74">
        <v>3.47</v>
      </c>
      <c r="I463" s="83">
        <f t="shared" si="16"/>
        <v>5069.67</v>
      </c>
      <c r="J463" s="72" t="s">
        <v>836</v>
      </c>
      <c r="K463" s="72" t="s">
        <v>836</v>
      </c>
      <c r="L463" s="99" t="s">
        <v>130</v>
      </c>
      <c r="M463" s="78"/>
    </row>
    <row r="464" spans="1:13" s="79" customFormat="1" ht="17.25" customHeight="1">
      <c r="A464" s="71">
        <v>75301</v>
      </c>
      <c r="B464" s="72" t="s">
        <v>826</v>
      </c>
      <c r="C464" s="72" t="s">
        <v>292</v>
      </c>
      <c r="D464" s="72" t="s">
        <v>838</v>
      </c>
      <c r="E464" s="72" t="s">
        <v>839</v>
      </c>
      <c r="F464" s="117" t="s">
        <v>295</v>
      </c>
      <c r="G464" s="107">
        <v>968</v>
      </c>
      <c r="H464" s="108">
        <v>2.69</v>
      </c>
      <c r="I464" s="83">
        <f t="shared" si="16"/>
        <v>2603.92</v>
      </c>
      <c r="J464" s="72" t="s">
        <v>296</v>
      </c>
      <c r="K464" s="72" t="s">
        <v>296</v>
      </c>
      <c r="L464" s="99" t="s">
        <v>130</v>
      </c>
      <c r="M464" s="78"/>
    </row>
    <row r="465" spans="1:13" s="79" customFormat="1" ht="17.25" customHeight="1">
      <c r="A465" s="71">
        <v>75301</v>
      </c>
      <c r="B465" s="72" t="s">
        <v>826</v>
      </c>
      <c r="C465" s="72" t="s">
        <v>292</v>
      </c>
      <c r="D465" s="72" t="s">
        <v>840</v>
      </c>
      <c r="E465" s="72" t="s">
        <v>839</v>
      </c>
      <c r="F465" s="117" t="s">
        <v>295</v>
      </c>
      <c r="G465" s="107">
        <v>6400</v>
      </c>
      <c r="H465" s="108">
        <v>3.09</v>
      </c>
      <c r="I465" s="83">
        <f t="shared" si="16"/>
        <v>19776</v>
      </c>
      <c r="J465" s="72" t="s">
        <v>296</v>
      </c>
      <c r="K465" s="72" t="s">
        <v>296</v>
      </c>
      <c r="L465" s="99" t="s">
        <v>130</v>
      </c>
      <c r="M465" s="78"/>
    </row>
    <row r="466" spans="1:13" s="79" customFormat="1" ht="17.25" customHeight="1">
      <c r="A466" s="71">
        <v>75301</v>
      </c>
      <c r="B466" s="72" t="s">
        <v>826</v>
      </c>
      <c r="C466" s="72" t="s">
        <v>292</v>
      </c>
      <c r="D466" s="72" t="s">
        <v>841</v>
      </c>
      <c r="E466" s="72" t="s">
        <v>842</v>
      </c>
      <c r="F466" s="117" t="s">
        <v>295</v>
      </c>
      <c r="G466" s="107">
        <v>14080</v>
      </c>
      <c r="H466" s="108">
        <v>3.03</v>
      </c>
      <c r="I466" s="83">
        <f t="shared" si="16"/>
        <v>42662.399999999994</v>
      </c>
      <c r="J466" s="72" t="s">
        <v>296</v>
      </c>
      <c r="K466" s="72" t="s">
        <v>296</v>
      </c>
      <c r="L466" s="99" t="s">
        <v>130</v>
      </c>
      <c r="M466" s="78"/>
    </row>
    <row r="467" spans="1:13" s="79" customFormat="1" ht="17.25" customHeight="1">
      <c r="A467" s="71">
        <v>75301</v>
      </c>
      <c r="B467" s="72" t="s">
        <v>826</v>
      </c>
      <c r="C467" s="72" t="s">
        <v>292</v>
      </c>
      <c r="D467" s="72" t="s">
        <v>843</v>
      </c>
      <c r="E467" s="72" t="s">
        <v>842</v>
      </c>
      <c r="F467" s="117" t="s">
        <v>295</v>
      </c>
      <c r="G467" s="107">
        <v>2044</v>
      </c>
      <c r="H467" s="108">
        <v>3.43</v>
      </c>
      <c r="I467" s="83">
        <f t="shared" si="16"/>
        <v>7010.92</v>
      </c>
      <c r="J467" s="72" t="s">
        <v>296</v>
      </c>
      <c r="K467" s="72" t="s">
        <v>296</v>
      </c>
      <c r="L467" s="99" t="s">
        <v>130</v>
      </c>
      <c r="M467" s="78"/>
    </row>
    <row r="468" spans="1:13" s="79" customFormat="1" ht="17.25" customHeight="1">
      <c r="A468" s="71">
        <v>42426</v>
      </c>
      <c r="B468" s="72" t="s">
        <v>844</v>
      </c>
      <c r="C468" s="80" t="s">
        <v>292</v>
      </c>
      <c r="D468" s="72" t="s">
        <v>845</v>
      </c>
      <c r="E468" s="72" t="s">
        <v>846</v>
      </c>
      <c r="F468" s="117" t="s">
        <v>356</v>
      </c>
      <c r="G468" s="73">
        <v>2196</v>
      </c>
      <c r="H468" s="74">
        <v>6.4</v>
      </c>
      <c r="I468" s="75">
        <f t="shared" ref="I468:I477" si="17">G468*H468</f>
        <v>14054.400000000001</v>
      </c>
      <c r="J468" s="72" t="s">
        <v>118</v>
      </c>
      <c r="K468" s="71">
        <v>42522</v>
      </c>
      <c r="L468" s="99" t="s">
        <v>119</v>
      </c>
      <c r="M468" s="78"/>
    </row>
    <row r="469" spans="1:13" s="79" customFormat="1" ht="17.25" customHeight="1">
      <c r="A469" s="71">
        <v>42426</v>
      </c>
      <c r="B469" s="72" t="s">
        <v>844</v>
      </c>
      <c r="C469" s="80" t="s">
        <v>292</v>
      </c>
      <c r="D469" s="72" t="s">
        <v>847</v>
      </c>
      <c r="E469" s="72" t="s">
        <v>846</v>
      </c>
      <c r="F469" s="117" t="s">
        <v>356</v>
      </c>
      <c r="G469" s="73">
        <v>804</v>
      </c>
      <c r="H469" s="74">
        <v>6.4</v>
      </c>
      <c r="I469" s="75">
        <f t="shared" si="17"/>
        <v>5145.6000000000004</v>
      </c>
      <c r="J469" s="72" t="s">
        <v>118</v>
      </c>
      <c r="K469" s="71">
        <v>42522</v>
      </c>
      <c r="L469" s="99" t="s">
        <v>119</v>
      </c>
      <c r="M469" s="78"/>
    </row>
    <row r="470" spans="1:13" s="79" customFormat="1" ht="17.25" customHeight="1">
      <c r="A470" s="71">
        <v>42426</v>
      </c>
      <c r="B470" s="72" t="s">
        <v>844</v>
      </c>
      <c r="C470" s="80" t="s">
        <v>292</v>
      </c>
      <c r="D470" s="72" t="s">
        <v>848</v>
      </c>
      <c r="E470" s="72" t="s">
        <v>846</v>
      </c>
      <c r="F470" s="117" t="s">
        <v>173</v>
      </c>
      <c r="G470" s="73">
        <v>1800</v>
      </c>
      <c r="H470" s="74">
        <v>6.6</v>
      </c>
      <c r="I470" s="75">
        <f t="shared" si="17"/>
        <v>11880</v>
      </c>
      <c r="J470" s="72" t="s">
        <v>118</v>
      </c>
      <c r="K470" s="71">
        <v>42522</v>
      </c>
      <c r="L470" s="99" t="s">
        <v>119</v>
      </c>
      <c r="M470" s="78"/>
    </row>
    <row r="471" spans="1:13" s="79" customFormat="1" ht="17.25" customHeight="1">
      <c r="A471" s="71">
        <v>42362</v>
      </c>
      <c r="B471" s="72" t="s">
        <v>849</v>
      </c>
      <c r="C471" s="72" t="s">
        <v>31</v>
      </c>
      <c r="D471" s="72" t="s">
        <v>850</v>
      </c>
      <c r="E471" s="72" t="s">
        <v>851</v>
      </c>
      <c r="F471" s="120" t="s">
        <v>128</v>
      </c>
      <c r="G471" s="73">
        <v>4966</v>
      </c>
      <c r="H471" s="74">
        <v>6.05</v>
      </c>
      <c r="I471" s="75">
        <f t="shared" si="17"/>
        <v>30044.3</v>
      </c>
      <c r="J471" s="72" t="s">
        <v>852</v>
      </c>
      <c r="K471" s="116">
        <v>42536</v>
      </c>
      <c r="L471" s="99" t="s">
        <v>119</v>
      </c>
      <c r="M471" s="78"/>
    </row>
    <row r="472" spans="1:13" s="79" customFormat="1" ht="17.25" customHeight="1">
      <c r="A472" s="71">
        <v>42362</v>
      </c>
      <c r="B472" s="72" t="s">
        <v>849</v>
      </c>
      <c r="C472" s="72" t="s">
        <v>31</v>
      </c>
      <c r="D472" s="72" t="s">
        <v>853</v>
      </c>
      <c r="E472" s="72" t="s">
        <v>851</v>
      </c>
      <c r="F472" s="120" t="s">
        <v>128</v>
      </c>
      <c r="G472" s="73">
        <v>20</v>
      </c>
      <c r="H472" s="74">
        <v>6.05</v>
      </c>
      <c r="I472" s="75">
        <f t="shared" si="17"/>
        <v>121</v>
      </c>
      <c r="J472" s="72" t="s">
        <v>118</v>
      </c>
      <c r="K472" s="71">
        <v>42515</v>
      </c>
      <c r="L472" s="99" t="s">
        <v>119</v>
      </c>
      <c r="M472" s="78"/>
    </row>
    <row r="473" spans="1:13" s="79" customFormat="1" ht="17.25" customHeight="1">
      <c r="A473" s="71">
        <v>42362</v>
      </c>
      <c r="B473" s="72" t="s">
        <v>849</v>
      </c>
      <c r="C473" s="72" t="s">
        <v>31</v>
      </c>
      <c r="D473" s="72" t="s">
        <v>854</v>
      </c>
      <c r="E473" s="72" t="s">
        <v>851</v>
      </c>
      <c r="F473" s="120" t="s">
        <v>128</v>
      </c>
      <c r="G473" s="73">
        <v>638</v>
      </c>
      <c r="H473" s="74">
        <v>6.05</v>
      </c>
      <c r="I473" s="75">
        <f t="shared" si="17"/>
        <v>3859.9</v>
      </c>
      <c r="J473" s="72" t="s">
        <v>425</v>
      </c>
      <c r="K473" s="71">
        <v>42578</v>
      </c>
      <c r="L473" s="99" t="s">
        <v>119</v>
      </c>
      <c r="M473" s="78"/>
    </row>
    <row r="474" spans="1:13" s="79" customFormat="1" ht="17.25" customHeight="1">
      <c r="A474" s="71">
        <v>42362</v>
      </c>
      <c r="B474" s="72" t="s">
        <v>855</v>
      </c>
      <c r="C474" s="72" t="s">
        <v>31</v>
      </c>
      <c r="D474" s="72" t="s">
        <v>856</v>
      </c>
      <c r="E474" s="72" t="s">
        <v>851</v>
      </c>
      <c r="F474" s="120" t="s">
        <v>128</v>
      </c>
      <c r="G474" s="73">
        <v>328</v>
      </c>
      <c r="H474" s="74">
        <v>6.05</v>
      </c>
      <c r="I474" s="75">
        <f t="shared" si="17"/>
        <v>1984.3999999999999</v>
      </c>
      <c r="J474" s="72" t="s">
        <v>852</v>
      </c>
      <c r="K474" s="71">
        <v>42536</v>
      </c>
      <c r="L474" s="99" t="s">
        <v>119</v>
      </c>
      <c r="M474" s="78"/>
    </row>
    <row r="475" spans="1:13" s="79" customFormat="1" ht="17.25" customHeight="1">
      <c r="A475" s="71">
        <v>42390</v>
      </c>
      <c r="B475" s="72" t="s">
        <v>844</v>
      </c>
      <c r="C475" s="72" t="s">
        <v>30</v>
      </c>
      <c r="D475" s="72" t="s">
        <v>857</v>
      </c>
      <c r="E475" s="72" t="s">
        <v>858</v>
      </c>
      <c r="F475" s="117"/>
      <c r="G475" s="73">
        <v>180</v>
      </c>
      <c r="H475" s="74">
        <v>5.75</v>
      </c>
      <c r="I475" s="83">
        <f t="shared" si="17"/>
        <v>1035</v>
      </c>
      <c r="J475" s="72" t="s">
        <v>165</v>
      </c>
      <c r="K475" s="71">
        <v>42524</v>
      </c>
      <c r="L475" s="99" t="s">
        <v>119</v>
      </c>
      <c r="M475" s="78"/>
    </row>
    <row r="476" spans="1:13" s="79" customFormat="1" ht="17.25" customHeight="1">
      <c r="A476" s="71">
        <v>42390</v>
      </c>
      <c r="B476" s="72" t="s">
        <v>844</v>
      </c>
      <c r="C476" s="72" t="s">
        <v>30</v>
      </c>
      <c r="D476" s="72" t="s">
        <v>857</v>
      </c>
      <c r="E476" s="72" t="s">
        <v>858</v>
      </c>
      <c r="F476" s="117"/>
      <c r="G476" s="73">
        <v>1595</v>
      </c>
      <c r="H476" s="74">
        <v>5.9</v>
      </c>
      <c r="I476" s="83">
        <f t="shared" si="17"/>
        <v>9410.5</v>
      </c>
      <c r="J476" s="72" t="s">
        <v>165</v>
      </c>
      <c r="K476" s="71">
        <v>42524</v>
      </c>
      <c r="L476" s="99" t="s">
        <v>119</v>
      </c>
      <c r="M476" s="78"/>
    </row>
    <row r="477" spans="1:13" s="79" customFormat="1" ht="17.25" customHeight="1">
      <c r="A477" s="71">
        <v>42397</v>
      </c>
      <c r="B477" s="72" t="s">
        <v>844</v>
      </c>
      <c r="C477" s="72" t="s">
        <v>30</v>
      </c>
      <c r="D477" s="72" t="s">
        <v>859</v>
      </c>
      <c r="E477" s="72" t="s">
        <v>858</v>
      </c>
      <c r="F477" s="117"/>
      <c r="G477" s="73">
        <v>250</v>
      </c>
      <c r="H477" s="74">
        <v>5.9</v>
      </c>
      <c r="I477" s="83">
        <f t="shared" si="17"/>
        <v>1475</v>
      </c>
      <c r="J477" s="72" t="s">
        <v>165</v>
      </c>
      <c r="K477" s="71">
        <v>42524</v>
      </c>
      <c r="L477" s="99" t="s">
        <v>119</v>
      </c>
      <c r="M477" s="78"/>
    </row>
    <row r="478" spans="1:13" s="79" customFormat="1" ht="17.25" customHeight="1">
      <c r="A478" s="89">
        <v>42340</v>
      </c>
      <c r="B478" s="72" t="s">
        <v>860</v>
      </c>
      <c r="C478" s="72" t="s">
        <v>350</v>
      </c>
      <c r="D478" s="72" t="s">
        <v>861</v>
      </c>
      <c r="E478" s="72" t="s">
        <v>862</v>
      </c>
      <c r="F478" s="117" t="s">
        <v>149</v>
      </c>
      <c r="G478" s="90">
        <v>1760</v>
      </c>
      <c r="H478" s="74">
        <v>5.4</v>
      </c>
      <c r="I478" s="83">
        <f t="shared" ref="I478:I489" si="18">G478*H478</f>
        <v>9504</v>
      </c>
      <c r="J478" s="72" t="s">
        <v>171</v>
      </c>
      <c r="K478" s="71">
        <v>42459</v>
      </c>
      <c r="L478" s="99" t="s">
        <v>119</v>
      </c>
      <c r="M478" s="78"/>
    </row>
    <row r="479" spans="1:13" s="79" customFormat="1" ht="17.25" customHeight="1">
      <c r="A479" s="89">
        <v>42375</v>
      </c>
      <c r="B479" s="72" t="s">
        <v>860</v>
      </c>
      <c r="C479" s="72" t="s">
        <v>350</v>
      </c>
      <c r="D479" s="72" t="s">
        <v>863</v>
      </c>
      <c r="E479" s="72" t="s">
        <v>862</v>
      </c>
      <c r="F479" s="117" t="s">
        <v>149</v>
      </c>
      <c r="G479" s="91">
        <v>936</v>
      </c>
      <c r="H479" s="74">
        <v>5.4</v>
      </c>
      <c r="I479" s="83">
        <f t="shared" si="18"/>
        <v>5054.4000000000005</v>
      </c>
      <c r="J479" s="72" t="s">
        <v>171</v>
      </c>
      <c r="K479" s="71">
        <v>42459</v>
      </c>
      <c r="L479" s="99" t="s">
        <v>119</v>
      </c>
      <c r="M479" s="78"/>
    </row>
    <row r="480" spans="1:13" s="79" customFormat="1" ht="17.25" customHeight="1">
      <c r="A480" s="89">
        <v>42375</v>
      </c>
      <c r="B480" s="72" t="s">
        <v>860</v>
      </c>
      <c r="C480" s="72" t="s">
        <v>350</v>
      </c>
      <c r="D480" s="72" t="s">
        <v>864</v>
      </c>
      <c r="E480" s="72" t="s">
        <v>862</v>
      </c>
      <c r="F480" s="117" t="s">
        <v>149</v>
      </c>
      <c r="G480" s="91">
        <v>40</v>
      </c>
      <c r="H480" s="74">
        <v>5.4</v>
      </c>
      <c r="I480" s="83">
        <f t="shared" si="18"/>
        <v>216</v>
      </c>
      <c r="J480" s="72" t="s">
        <v>171</v>
      </c>
      <c r="K480" s="71">
        <v>42459</v>
      </c>
      <c r="L480" s="99" t="s">
        <v>119</v>
      </c>
      <c r="M480" s="78"/>
    </row>
    <row r="481" spans="1:13" s="79" customFormat="1" ht="17.25" customHeight="1">
      <c r="A481" s="71">
        <v>42332</v>
      </c>
      <c r="B481" s="72" t="s">
        <v>860</v>
      </c>
      <c r="C481" s="72" t="s">
        <v>24</v>
      </c>
      <c r="D481" s="72" t="s">
        <v>865</v>
      </c>
      <c r="E481" s="72" t="s">
        <v>866</v>
      </c>
      <c r="F481" s="117" t="s">
        <v>738</v>
      </c>
      <c r="G481" s="73">
        <v>2760</v>
      </c>
      <c r="H481" s="74">
        <v>5.7</v>
      </c>
      <c r="I481" s="75">
        <f t="shared" si="18"/>
        <v>15732</v>
      </c>
      <c r="J481" s="72" t="s">
        <v>174</v>
      </c>
      <c r="K481" s="71">
        <v>42472</v>
      </c>
      <c r="L481" s="110" t="s">
        <v>119</v>
      </c>
      <c r="M481" s="78"/>
    </row>
    <row r="482" spans="1:13" s="79" customFormat="1" ht="17.25" customHeight="1">
      <c r="A482" s="71">
        <v>42346</v>
      </c>
      <c r="B482" s="72" t="s">
        <v>860</v>
      </c>
      <c r="C482" s="72" t="s">
        <v>24</v>
      </c>
      <c r="D482" s="72" t="s">
        <v>867</v>
      </c>
      <c r="E482" s="72" t="s">
        <v>866</v>
      </c>
      <c r="F482" s="117" t="s">
        <v>646</v>
      </c>
      <c r="G482" s="73">
        <v>6</v>
      </c>
      <c r="H482" s="74">
        <v>5.7</v>
      </c>
      <c r="I482" s="75">
        <f t="shared" si="18"/>
        <v>34.200000000000003</v>
      </c>
      <c r="J482" s="72" t="s">
        <v>174</v>
      </c>
      <c r="K482" s="71">
        <v>42474</v>
      </c>
      <c r="L482" s="110" t="s">
        <v>119</v>
      </c>
      <c r="M482" s="78"/>
    </row>
    <row r="483" spans="1:13" s="79" customFormat="1" ht="17.25" customHeight="1">
      <c r="A483" s="71">
        <v>42332</v>
      </c>
      <c r="B483" s="72" t="s">
        <v>860</v>
      </c>
      <c r="C483" s="72" t="s">
        <v>25</v>
      </c>
      <c r="D483" s="72" t="s">
        <v>868</v>
      </c>
      <c r="E483" s="72" t="s">
        <v>869</v>
      </c>
      <c r="F483" s="117" t="s">
        <v>738</v>
      </c>
      <c r="G483" s="73">
        <v>3978</v>
      </c>
      <c r="H483" s="74">
        <v>4.0999999999999996</v>
      </c>
      <c r="I483" s="75">
        <f t="shared" si="18"/>
        <v>16309.8</v>
      </c>
      <c r="J483" s="72" t="s">
        <v>174</v>
      </c>
      <c r="K483" s="71">
        <v>42472</v>
      </c>
      <c r="L483" s="110" t="s">
        <v>119</v>
      </c>
      <c r="M483" s="78"/>
    </row>
    <row r="484" spans="1:13" s="79" customFormat="1" ht="17.25" customHeight="1">
      <c r="A484" s="71">
        <v>42377</v>
      </c>
      <c r="B484" s="72" t="s">
        <v>860</v>
      </c>
      <c r="C484" s="72" t="s">
        <v>30</v>
      </c>
      <c r="D484" s="72" t="s">
        <v>870</v>
      </c>
      <c r="E484" s="72" t="s">
        <v>871</v>
      </c>
      <c r="F484" s="117"/>
      <c r="G484" s="73">
        <v>648</v>
      </c>
      <c r="H484" s="74">
        <v>5.35</v>
      </c>
      <c r="I484" s="75">
        <f t="shared" si="18"/>
        <v>3466.7999999999997</v>
      </c>
      <c r="J484" s="72" t="s">
        <v>136</v>
      </c>
      <c r="K484" s="71">
        <v>42494</v>
      </c>
      <c r="L484" s="99" t="s">
        <v>119</v>
      </c>
      <c r="M484" s="78"/>
    </row>
    <row r="485" spans="1:13" s="79" customFormat="1" ht="17.25" customHeight="1">
      <c r="A485" s="71">
        <v>42377</v>
      </c>
      <c r="B485" s="72" t="s">
        <v>860</v>
      </c>
      <c r="C485" s="72" t="s">
        <v>30</v>
      </c>
      <c r="D485" s="72" t="s">
        <v>872</v>
      </c>
      <c r="E485" s="72" t="s">
        <v>871</v>
      </c>
      <c r="F485" s="117" t="s">
        <v>356</v>
      </c>
      <c r="G485" s="73">
        <v>1152</v>
      </c>
      <c r="H485" s="74">
        <v>5.55</v>
      </c>
      <c r="I485" s="75">
        <f t="shared" si="18"/>
        <v>6393.5999999999995</v>
      </c>
      <c r="J485" s="72" t="s">
        <v>136</v>
      </c>
      <c r="K485" s="71">
        <v>42494</v>
      </c>
      <c r="L485" s="99" t="s">
        <v>119</v>
      </c>
      <c r="M485" s="78"/>
    </row>
    <row r="486" spans="1:13" s="79" customFormat="1" ht="17.25" customHeight="1">
      <c r="A486" s="71">
        <v>42387</v>
      </c>
      <c r="B486" s="72" t="s">
        <v>860</v>
      </c>
      <c r="C486" s="72" t="s">
        <v>30</v>
      </c>
      <c r="D486" s="72" t="s">
        <v>873</v>
      </c>
      <c r="E486" s="72" t="s">
        <v>871</v>
      </c>
      <c r="F486" s="117" t="s">
        <v>446</v>
      </c>
      <c r="G486" s="73">
        <v>600</v>
      </c>
      <c r="H486" s="74">
        <v>5.55</v>
      </c>
      <c r="I486" s="75">
        <f t="shared" si="18"/>
        <v>3330</v>
      </c>
      <c r="J486" s="72" t="s">
        <v>136</v>
      </c>
      <c r="K486" s="71">
        <v>42494</v>
      </c>
      <c r="L486" s="99" t="s">
        <v>119</v>
      </c>
      <c r="M486" s="78"/>
    </row>
    <row r="487" spans="1:13" s="79" customFormat="1" ht="17.25" customHeight="1">
      <c r="A487" s="71">
        <v>42340</v>
      </c>
      <c r="B487" s="72" t="s">
        <v>860</v>
      </c>
      <c r="C487" s="72" t="s">
        <v>32</v>
      </c>
      <c r="D487" s="72" t="s">
        <v>874</v>
      </c>
      <c r="E487" s="72" t="s">
        <v>875</v>
      </c>
      <c r="F487" s="120" t="s">
        <v>345</v>
      </c>
      <c r="G487" s="73">
        <v>1200</v>
      </c>
      <c r="H487" s="74">
        <v>8.5</v>
      </c>
      <c r="I487" s="75">
        <f t="shared" si="18"/>
        <v>10200</v>
      </c>
      <c r="J487" s="72" t="s">
        <v>174</v>
      </c>
      <c r="K487" s="116">
        <v>42466</v>
      </c>
      <c r="L487" s="99" t="s">
        <v>119</v>
      </c>
      <c r="M487" s="78"/>
    </row>
    <row r="488" spans="1:13" s="79" customFormat="1" ht="17.25" customHeight="1">
      <c r="A488" s="71">
        <v>42345</v>
      </c>
      <c r="B488" s="72" t="s">
        <v>860</v>
      </c>
      <c r="C488" s="72" t="s">
        <v>32</v>
      </c>
      <c r="D488" s="72" t="s">
        <v>876</v>
      </c>
      <c r="E488" s="72" t="s">
        <v>875</v>
      </c>
      <c r="F488" s="120" t="s">
        <v>552</v>
      </c>
      <c r="G488" s="73">
        <v>120</v>
      </c>
      <c r="H488" s="74"/>
      <c r="I488" s="75">
        <f t="shared" si="18"/>
        <v>0</v>
      </c>
      <c r="J488" s="72" t="s">
        <v>174</v>
      </c>
      <c r="K488" s="116">
        <v>42466</v>
      </c>
      <c r="L488" s="99" t="s">
        <v>119</v>
      </c>
      <c r="M488" s="78"/>
    </row>
    <row r="489" spans="1:13" s="79" customFormat="1" ht="17.25" customHeight="1">
      <c r="A489" s="71">
        <v>42340</v>
      </c>
      <c r="B489" s="72" t="s">
        <v>860</v>
      </c>
      <c r="C489" s="72" t="s">
        <v>386</v>
      </c>
      <c r="D489" s="72" t="s">
        <v>877</v>
      </c>
      <c r="E489" s="72" t="s">
        <v>878</v>
      </c>
      <c r="F489" s="117" t="s">
        <v>879</v>
      </c>
      <c r="G489" s="73">
        <v>1200</v>
      </c>
      <c r="H489" s="74">
        <v>8.6</v>
      </c>
      <c r="I489" s="83">
        <f t="shared" si="18"/>
        <v>10320</v>
      </c>
      <c r="J489" s="72" t="s">
        <v>171</v>
      </c>
      <c r="K489" s="71">
        <v>42459</v>
      </c>
      <c r="L489" s="99" t="s">
        <v>119</v>
      </c>
      <c r="M489" s="78"/>
    </row>
    <row r="490" spans="1:13" s="79" customFormat="1" ht="17.25" customHeight="1">
      <c r="A490" s="89">
        <v>42327</v>
      </c>
      <c r="B490" s="72" t="s">
        <v>880</v>
      </c>
      <c r="C490" s="72" t="s">
        <v>386</v>
      </c>
      <c r="D490" s="72" t="s">
        <v>881</v>
      </c>
      <c r="E490" s="72" t="s">
        <v>882</v>
      </c>
      <c r="F490" s="117" t="s">
        <v>154</v>
      </c>
      <c r="G490" s="90">
        <v>20168</v>
      </c>
      <c r="H490" s="74">
        <v>3.75</v>
      </c>
      <c r="I490" s="83">
        <f t="shared" ref="I490:I512" si="19">G490*H490</f>
        <v>75630</v>
      </c>
      <c r="J490" s="72" t="s">
        <v>366</v>
      </c>
      <c r="K490" s="71">
        <v>42452</v>
      </c>
      <c r="L490" s="99" t="s">
        <v>353</v>
      </c>
      <c r="M490" s="78"/>
    </row>
    <row r="491" spans="1:13" s="79" customFormat="1" ht="17.25" customHeight="1">
      <c r="A491" s="89">
        <v>42373</v>
      </c>
      <c r="B491" s="72" t="s">
        <v>880</v>
      </c>
      <c r="C491" s="72" t="s">
        <v>386</v>
      </c>
      <c r="D491" s="72" t="s">
        <v>883</v>
      </c>
      <c r="E491" s="72" t="s">
        <v>884</v>
      </c>
      <c r="F491" s="117" t="s">
        <v>154</v>
      </c>
      <c r="G491" s="90">
        <v>144</v>
      </c>
      <c r="H491" s="74">
        <v>3.38</v>
      </c>
      <c r="I491" s="83">
        <f t="shared" si="19"/>
        <v>486.71999999999997</v>
      </c>
      <c r="J491" s="72" t="s">
        <v>232</v>
      </c>
      <c r="K491" s="71">
        <v>42501</v>
      </c>
      <c r="L491" s="99" t="s">
        <v>353</v>
      </c>
      <c r="M491" s="78"/>
    </row>
    <row r="492" spans="1:13" s="79" customFormat="1" ht="17.25" customHeight="1">
      <c r="A492" s="89">
        <v>42373</v>
      </c>
      <c r="B492" s="72" t="s">
        <v>880</v>
      </c>
      <c r="C492" s="72" t="s">
        <v>386</v>
      </c>
      <c r="D492" s="72">
        <v>3687</v>
      </c>
      <c r="E492" s="72" t="s">
        <v>884</v>
      </c>
      <c r="F492" s="72" t="s">
        <v>154</v>
      </c>
      <c r="G492" s="90">
        <v>784</v>
      </c>
      <c r="H492" s="74">
        <v>3.38</v>
      </c>
      <c r="I492" s="83">
        <f t="shared" si="19"/>
        <v>2649.92</v>
      </c>
      <c r="J492" s="72" t="s">
        <v>232</v>
      </c>
      <c r="K492" s="71">
        <v>42501</v>
      </c>
      <c r="L492" s="99" t="s">
        <v>353</v>
      </c>
      <c r="M492" s="78"/>
    </row>
    <row r="493" spans="1:13" s="79" customFormat="1" ht="17.25" customHeight="1">
      <c r="A493" s="89">
        <v>42376</v>
      </c>
      <c r="B493" s="72" t="s">
        <v>880</v>
      </c>
      <c r="C493" s="72" t="s">
        <v>386</v>
      </c>
      <c r="D493" s="72">
        <v>3693</v>
      </c>
      <c r="E493" s="72" t="s">
        <v>884</v>
      </c>
      <c r="F493" s="72" t="s">
        <v>154</v>
      </c>
      <c r="G493" s="90">
        <v>472</v>
      </c>
      <c r="H493" s="74">
        <v>3.38</v>
      </c>
      <c r="I493" s="83">
        <f t="shared" si="19"/>
        <v>1595.36</v>
      </c>
      <c r="J493" s="72" t="s">
        <v>232</v>
      </c>
      <c r="K493" s="71">
        <v>42501</v>
      </c>
      <c r="L493" s="99" t="s">
        <v>353</v>
      </c>
      <c r="M493" s="78"/>
    </row>
    <row r="494" spans="1:13" s="79" customFormat="1" ht="17.25" customHeight="1">
      <c r="A494" s="89">
        <v>42376</v>
      </c>
      <c r="B494" s="72" t="s">
        <v>880</v>
      </c>
      <c r="C494" s="72" t="s">
        <v>386</v>
      </c>
      <c r="D494" s="72" t="s">
        <v>885</v>
      </c>
      <c r="E494" s="72" t="s">
        <v>884</v>
      </c>
      <c r="F494" s="72" t="s">
        <v>154</v>
      </c>
      <c r="G494" s="90">
        <v>101912</v>
      </c>
      <c r="H494" s="74">
        <v>3.38</v>
      </c>
      <c r="I494" s="83">
        <f t="shared" si="19"/>
        <v>344462.56</v>
      </c>
      <c r="J494" s="72" t="s">
        <v>232</v>
      </c>
      <c r="K494" s="71">
        <v>42501</v>
      </c>
      <c r="L494" s="99" t="s">
        <v>353</v>
      </c>
      <c r="M494" s="78"/>
    </row>
    <row r="495" spans="1:13" s="79" customFormat="1" ht="17.25" customHeight="1">
      <c r="A495" s="89">
        <v>42376</v>
      </c>
      <c r="B495" s="72" t="s">
        <v>880</v>
      </c>
      <c r="C495" s="72" t="s">
        <v>386</v>
      </c>
      <c r="D495" s="72">
        <v>3696</v>
      </c>
      <c r="E495" s="72" t="s">
        <v>884</v>
      </c>
      <c r="F495" s="72" t="s">
        <v>154</v>
      </c>
      <c r="G495" s="90">
        <v>25896</v>
      </c>
      <c r="H495" s="74">
        <v>3.38</v>
      </c>
      <c r="I495" s="83">
        <f t="shared" si="19"/>
        <v>87528.48</v>
      </c>
      <c r="J495" s="72" t="s">
        <v>232</v>
      </c>
      <c r="K495" s="71">
        <v>42501</v>
      </c>
      <c r="L495" s="99" t="s">
        <v>353</v>
      </c>
      <c r="M495" s="78"/>
    </row>
    <row r="496" spans="1:13" s="79" customFormat="1" ht="17.25" customHeight="1">
      <c r="A496" s="89">
        <v>42376</v>
      </c>
      <c r="B496" s="72" t="s">
        <v>880</v>
      </c>
      <c r="C496" s="72" t="s">
        <v>386</v>
      </c>
      <c r="D496" s="72" t="s">
        <v>886</v>
      </c>
      <c r="E496" s="72" t="s">
        <v>887</v>
      </c>
      <c r="F496" s="72" t="s">
        <v>154</v>
      </c>
      <c r="G496" s="90">
        <v>48</v>
      </c>
      <c r="H496" s="74">
        <v>3.6</v>
      </c>
      <c r="I496" s="83">
        <f t="shared" si="19"/>
        <v>172.8</v>
      </c>
      <c r="J496" s="72" t="s">
        <v>232</v>
      </c>
      <c r="K496" s="71">
        <v>42501</v>
      </c>
      <c r="L496" s="99" t="s">
        <v>353</v>
      </c>
      <c r="M496" s="78"/>
    </row>
    <row r="497" spans="1:13" s="79" customFormat="1" ht="17.25" customHeight="1">
      <c r="A497" s="89">
        <v>42376</v>
      </c>
      <c r="B497" s="72" t="s">
        <v>880</v>
      </c>
      <c r="C497" s="72" t="s">
        <v>386</v>
      </c>
      <c r="D497" s="72">
        <v>3699</v>
      </c>
      <c r="E497" s="72" t="s">
        <v>887</v>
      </c>
      <c r="F497" s="72" t="s">
        <v>154</v>
      </c>
      <c r="G497" s="90">
        <v>192</v>
      </c>
      <c r="H497" s="74">
        <v>3.6</v>
      </c>
      <c r="I497" s="83">
        <f t="shared" si="19"/>
        <v>691.2</v>
      </c>
      <c r="J497" s="72" t="s">
        <v>232</v>
      </c>
      <c r="K497" s="71">
        <v>42501</v>
      </c>
      <c r="L497" s="99" t="s">
        <v>353</v>
      </c>
      <c r="M497" s="78"/>
    </row>
    <row r="498" spans="1:13" s="79" customFormat="1" ht="17.25" customHeight="1">
      <c r="A498" s="89">
        <v>42376</v>
      </c>
      <c r="B498" s="72" t="s">
        <v>880</v>
      </c>
      <c r="C498" s="72" t="s">
        <v>386</v>
      </c>
      <c r="D498" s="72">
        <v>3700</v>
      </c>
      <c r="E498" s="72" t="s">
        <v>887</v>
      </c>
      <c r="F498" s="72" t="s">
        <v>154</v>
      </c>
      <c r="G498" s="90">
        <v>22912</v>
      </c>
      <c r="H498" s="74">
        <v>3.6</v>
      </c>
      <c r="I498" s="83">
        <f t="shared" si="19"/>
        <v>82483.199999999997</v>
      </c>
      <c r="J498" s="72" t="s">
        <v>232</v>
      </c>
      <c r="K498" s="71">
        <v>42501</v>
      </c>
      <c r="L498" s="99" t="s">
        <v>353</v>
      </c>
      <c r="M498" s="78"/>
    </row>
    <row r="499" spans="1:13" s="79" customFormat="1" ht="17.25" customHeight="1">
      <c r="A499" s="89">
        <v>42382</v>
      </c>
      <c r="B499" s="72" t="s">
        <v>880</v>
      </c>
      <c r="C499" s="72" t="s">
        <v>386</v>
      </c>
      <c r="D499" s="72" t="s">
        <v>888</v>
      </c>
      <c r="E499" s="72" t="s">
        <v>889</v>
      </c>
      <c r="F499" s="72" t="s">
        <v>154</v>
      </c>
      <c r="G499" s="90">
        <v>192</v>
      </c>
      <c r="H499" s="74">
        <v>5.75</v>
      </c>
      <c r="I499" s="83">
        <f t="shared" si="19"/>
        <v>1104</v>
      </c>
      <c r="J499" s="72" t="s">
        <v>232</v>
      </c>
      <c r="K499" s="71">
        <v>42501</v>
      </c>
      <c r="L499" s="99" t="s">
        <v>119</v>
      </c>
      <c r="M499" s="78"/>
    </row>
    <row r="500" spans="1:13" s="79" customFormat="1" ht="17.25" customHeight="1">
      <c r="A500" s="89">
        <v>42382</v>
      </c>
      <c r="B500" s="72" t="s">
        <v>880</v>
      </c>
      <c r="C500" s="72" t="s">
        <v>386</v>
      </c>
      <c r="D500" s="72" t="s">
        <v>890</v>
      </c>
      <c r="E500" s="72" t="s">
        <v>889</v>
      </c>
      <c r="F500" s="72" t="s">
        <v>154</v>
      </c>
      <c r="G500" s="90">
        <v>936</v>
      </c>
      <c r="H500" s="74">
        <v>5.75</v>
      </c>
      <c r="I500" s="83">
        <f t="shared" si="19"/>
        <v>5382</v>
      </c>
      <c r="J500" s="72" t="s">
        <v>232</v>
      </c>
      <c r="K500" s="71">
        <v>42501</v>
      </c>
      <c r="L500" s="99" t="s">
        <v>119</v>
      </c>
      <c r="M500" s="78"/>
    </row>
    <row r="501" spans="1:13" s="79" customFormat="1" ht="17.25" customHeight="1">
      <c r="A501" s="89">
        <v>42382</v>
      </c>
      <c r="B501" s="72" t="s">
        <v>880</v>
      </c>
      <c r="C501" s="72" t="s">
        <v>386</v>
      </c>
      <c r="D501" s="72" t="s">
        <v>891</v>
      </c>
      <c r="E501" s="72" t="s">
        <v>889</v>
      </c>
      <c r="F501" s="72" t="s">
        <v>154</v>
      </c>
      <c r="G501" s="90">
        <v>84120</v>
      </c>
      <c r="H501" s="74">
        <v>5.75</v>
      </c>
      <c r="I501" s="83">
        <f t="shared" si="19"/>
        <v>483690</v>
      </c>
      <c r="J501" s="72" t="s">
        <v>232</v>
      </c>
      <c r="K501" s="71">
        <v>42501</v>
      </c>
      <c r="L501" s="99" t="s">
        <v>119</v>
      </c>
      <c r="M501" s="78"/>
    </row>
    <row r="502" spans="1:13" s="79" customFormat="1" ht="17.25" customHeight="1">
      <c r="A502" s="89">
        <v>42390</v>
      </c>
      <c r="B502" s="72" t="s">
        <v>880</v>
      </c>
      <c r="C502" s="72" t="s">
        <v>386</v>
      </c>
      <c r="D502" s="72" t="s">
        <v>892</v>
      </c>
      <c r="E502" s="72" t="s">
        <v>893</v>
      </c>
      <c r="F502" s="72" t="s">
        <v>154</v>
      </c>
      <c r="G502" s="90">
        <v>324</v>
      </c>
      <c r="H502" s="74">
        <v>3.62</v>
      </c>
      <c r="I502" s="83">
        <f t="shared" si="19"/>
        <v>1172.8800000000001</v>
      </c>
      <c r="J502" s="72" t="s">
        <v>124</v>
      </c>
      <c r="K502" s="71">
        <v>42510</v>
      </c>
      <c r="L502" s="99" t="s">
        <v>395</v>
      </c>
      <c r="M502" s="78"/>
    </row>
    <row r="503" spans="1:13" s="79" customFormat="1" ht="17.25" customHeight="1">
      <c r="A503" s="89">
        <v>42390</v>
      </c>
      <c r="B503" s="72" t="s">
        <v>880</v>
      </c>
      <c r="C503" s="72" t="s">
        <v>386</v>
      </c>
      <c r="D503" s="72" t="s">
        <v>894</v>
      </c>
      <c r="E503" s="72" t="s">
        <v>893</v>
      </c>
      <c r="F503" s="72" t="s">
        <v>154</v>
      </c>
      <c r="G503" s="90">
        <v>2205</v>
      </c>
      <c r="H503" s="74">
        <v>3.62</v>
      </c>
      <c r="I503" s="83">
        <f t="shared" si="19"/>
        <v>7982.1</v>
      </c>
      <c r="J503" s="72" t="s">
        <v>124</v>
      </c>
      <c r="K503" s="71">
        <v>42510</v>
      </c>
      <c r="L503" s="99" t="s">
        <v>395</v>
      </c>
      <c r="M503" s="78"/>
    </row>
    <row r="504" spans="1:13" s="79" customFormat="1" ht="17.25" customHeight="1">
      <c r="A504" s="89">
        <v>42390</v>
      </c>
      <c r="B504" s="72" t="s">
        <v>880</v>
      </c>
      <c r="C504" s="72" t="s">
        <v>386</v>
      </c>
      <c r="D504" s="72" t="s">
        <v>895</v>
      </c>
      <c r="E504" s="72" t="s">
        <v>893</v>
      </c>
      <c r="F504" s="72" t="s">
        <v>154</v>
      </c>
      <c r="G504" s="90">
        <v>450</v>
      </c>
      <c r="H504" s="74">
        <v>3.62</v>
      </c>
      <c r="I504" s="83">
        <f t="shared" si="19"/>
        <v>1629</v>
      </c>
      <c r="J504" s="72" t="s">
        <v>124</v>
      </c>
      <c r="K504" s="71">
        <v>42510</v>
      </c>
      <c r="L504" s="99" t="s">
        <v>395</v>
      </c>
      <c r="M504" s="78"/>
    </row>
    <row r="505" spans="1:13" s="79" customFormat="1" ht="17.25" customHeight="1">
      <c r="A505" s="89">
        <v>42390</v>
      </c>
      <c r="B505" s="72" t="s">
        <v>880</v>
      </c>
      <c r="C505" s="72" t="s">
        <v>386</v>
      </c>
      <c r="D505" s="72" t="s">
        <v>896</v>
      </c>
      <c r="E505" s="72" t="s">
        <v>893</v>
      </c>
      <c r="F505" s="72" t="s">
        <v>154</v>
      </c>
      <c r="G505" s="90">
        <v>271341</v>
      </c>
      <c r="H505" s="74">
        <v>3.62</v>
      </c>
      <c r="I505" s="83">
        <f t="shared" si="19"/>
        <v>982254.42</v>
      </c>
      <c r="J505" s="72" t="s">
        <v>124</v>
      </c>
      <c r="K505" s="71">
        <v>42510</v>
      </c>
      <c r="L505" s="99" t="s">
        <v>395</v>
      </c>
      <c r="M505" s="78"/>
    </row>
    <row r="506" spans="1:13" s="79" customFormat="1" ht="17.25" customHeight="1">
      <c r="A506" s="89">
        <v>42390</v>
      </c>
      <c r="B506" s="72" t="s">
        <v>880</v>
      </c>
      <c r="C506" s="72" t="s">
        <v>386</v>
      </c>
      <c r="D506" s="72" t="s">
        <v>897</v>
      </c>
      <c r="E506" s="72" t="s">
        <v>893</v>
      </c>
      <c r="F506" s="72" t="s">
        <v>154</v>
      </c>
      <c r="G506" s="90">
        <v>12267</v>
      </c>
      <c r="H506" s="74">
        <v>3.62</v>
      </c>
      <c r="I506" s="83">
        <f t="shared" si="19"/>
        <v>44406.54</v>
      </c>
      <c r="J506" s="72" t="s">
        <v>124</v>
      </c>
      <c r="K506" s="71">
        <v>42510</v>
      </c>
      <c r="L506" s="99" t="s">
        <v>395</v>
      </c>
      <c r="M506" s="78"/>
    </row>
    <row r="507" spans="1:13" s="79" customFormat="1" ht="17.25" customHeight="1">
      <c r="A507" s="89">
        <v>42390</v>
      </c>
      <c r="B507" s="72" t="s">
        <v>880</v>
      </c>
      <c r="C507" s="72" t="s">
        <v>386</v>
      </c>
      <c r="D507" s="72" t="s">
        <v>898</v>
      </c>
      <c r="E507" s="72" t="s">
        <v>893</v>
      </c>
      <c r="F507" s="72" t="s">
        <v>154</v>
      </c>
      <c r="G507" s="90">
        <v>2862</v>
      </c>
      <c r="H507" s="74">
        <v>3.62</v>
      </c>
      <c r="I507" s="83">
        <f t="shared" si="19"/>
        <v>10360.44</v>
      </c>
      <c r="J507" s="72" t="s">
        <v>124</v>
      </c>
      <c r="K507" s="71">
        <v>42510</v>
      </c>
      <c r="L507" s="99" t="s">
        <v>395</v>
      </c>
      <c r="M507" s="78"/>
    </row>
    <row r="508" spans="1:13" s="79" customFormat="1" ht="17.25" customHeight="1">
      <c r="A508" s="71">
        <v>42320</v>
      </c>
      <c r="B508" s="72" t="s">
        <v>880</v>
      </c>
      <c r="C508" s="72" t="s">
        <v>30</v>
      </c>
      <c r="D508" s="72" t="s">
        <v>899</v>
      </c>
      <c r="E508" s="72" t="s">
        <v>900</v>
      </c>
      <c r="F508" s="98" t="s">
        <v>154</v>
      </c>
      <c r="G508" s="73">
        <v>50000</v>
      </c>
      <c r="H508" s="74">
        <v>5.55</v>
      </c>
      <c r="I508" s="75">
        <f t="shared" si="19"/>
        <v>277500</v>
      </c>
      <c r="J508" s="72" t="s">
        <v>543</v>
      </c>
      <c r="K508" s="71">
        <v>42445</v>
      </c>
      <c r="L508" s="99" t="s">
        <v>119</v>
      </c>
      <c r="M508" s="78"/>
    </row>
    <row r="509" spans="1:13" s="79" customFormat="1" ht="17.25" customHeight="1">
      <c r="A509" s="71">
        <v>42340</v>
      </c>
      <c r="B509" s="72" t="s">
        <v>880</v>
      </c>
      <c r="C509" s="72" t="s">
        <v>447</v>
      </c>
      <c r="D509" s="72" t="s">
        <v>901</v>
      </c>
      <c r="E509" s="72" t="s">
        <v>902</v>
      </c>
      <c r="F509" s="72" t="s">
        <v>154</v>
      </c>
      <c r="G509" s="90">
        <v>104368</v>
      </c>
      <c r="H509" s="74">
        <v>6.1</v>
      </c>
      <c r="I509" s="83">
        <f t="shared" si="19"/>
        <v>636644.79999999993</v>
      </c>
      <c r="J509" s="72" t="s">
        <v>171</v>
      </c>
      <c r="K509" s="71">
        <v>42466</v>
      </c>
      <c r="L509" s="99" t="s">
        <v>130</v>
      </c>
      <c r="M509" s="78"/>
    </row>
    <row r="510" spans="1:13" s="79" customFormat="1" ht="17.25" customHeight="1">
      <c r="A510" s="71">
        <v>42340</v>
      </c>
      <c r="B510" s="72" t="s">
        <v>880</v>
      </c>
      <c r="C510" s="72" t="s">
        <v>447</v>
      </c>
      <c r="D510" s="72" t="s">
        <v>903</v>
      </c>
      <c r="E510" s="72" t="s">
        <v>902</v>
      </c>
      <c r="F510" s="117" t="s">
        <v>154</v>
      </c>
      <c r="G510" s="90">
        <v>144</v>
      </c>
      <c r="H510" s="74">
        <v>6.1</v>
      </c>
      <c r="I510" s="83">
        <f t="shared" si="19"/>
        <v>878.4</v>
      </c>
      <c r="J510" s="72" t="s">
        <v>171</v>
      </c>
      <c r="K510" s="71">
        <v>42466</v>
      </c>
      <c r="L510" s="99" t="s">
        <v>130</v>
      </c>
      <c r="M510" s="78"/>
    </row>
    <row r="511" spans="1:13" s="79" customFormat="1" ht="17.25" customHeight="1">
      <c r="A511" s="71">
        <v>42331</v>
      </c>
      <c r="B511" s="72" t="s">
        <v>880</v>
      </c>
      <c r="C511" s="72" t="s">
        <v>26</v>
      </c>
      <c r="D511" s="72" t="s">
        <v>904</v>
      </c>
      <c r="E511" s="72" t="s">
        <v>905</v>
      </c>
      <c r="F511" s="117" t="s">
        <v>154</v>
      </c>
      <c r="G511" s="90">
        <v>113856</v>
      </c>
      <c r="H511" s="112">
        <v>3</v>
      </c>
      <c r="I511" s="83">
        <f t="shared" si="19"/>
        <v>341568</v>
      </c>
      <c r="J511" s="72" t="s">
        <v>171</v>
      </c>
      <c r="K511" s="71">
        <v>42466</v>
      </c>
      <c r="L511" s="99" t="s">
        <v>130</v>
      </c>
      <c r="M511" s="78"/>
    </row>
    <row r="512" spans="1:13" s="79" customFormat="1" ht="17.25" customHeight="1">
      <c r="A512" s="71">
        <v>42331</v>
      </c>
      <c r="B512" s="72" t="s">
        <v>880</v>
      </c>
      <c r="C512" s="72" t="s">
        <v>26</v>
      </c>
      <c r="D512" s="72" t="s">
        <v>906</v>
      </c>
      <c r="E512" s="72" t="s">
        <v>905</v>
      </c>
      <c r="F512" s="72" t="s">
        <v>154</v>
      </c>
      <c r="G512" s="90">
        <v>38264</v>
      </c>
      <c r="H512" s="112">
        <v>3</v>
      </c>
      <c r="I512" s="83">
        <f t="shared" si="19"/>
        <v>114792</v>
      </c>
      <c r="J512" s="72" t="s">
        <v>171</v>
      </c>
      <c r="K512" s="71">
        <v>42466</v>
      </c>
      <c r="L512" s="72" t="s">
        <v>130</v>
      </c>
      <c r="M512" s="78"/>
    </row>
    <row r="513" spans="1:13" s="79" customFormat="1" ht="17.25" customHeight="1">
      <c r="A513" s="71">
        <v>42340</v>
      </c>
      <c r="B513" s="72" t="s">
        <v>907</v>
      </c>
      <c r="C513" s="72" t="s">
        <v>26</v>
      </c>
      <c r="D513" s="72" t="s">
        <v>908</v>
      </c>
      <c r="E513" s="72" t="s">
        <v>909</v>
      </c>
      <c r="F513" s="72" t="s">
        <v>154</v>
      </c>
      <c r="G513" s="90">
        <v>233840</v>
      </c>
      <c r="H513" s="74">
        <v>4.05</v>
      </c>
      <c r="I513" s="83">
        <f>G513*H513</f>
        <v>947052</v>
      </c>
      <c r="J513" s="72" t="s">
        <v>543</v>
      </c>
      <c r="K513" s="71">
        <v>42452</v>
      </c>
      <c r="L513" s="72" t="s">
        <v>119</v>
      </c>
      <c r="M513" s="78"/>
    </row>
    <row r="514" spans="1:13" s="79" customFormat="1" ht="17.25" customHeight="1">
      <c r="A514" s="71">
        <v>42340</v>
      </c>
      <c r="B514" s="72" t="s">
        <v>910</v>
      </c>
      <c r="C514" s="72" t="s">
        <v>26</v>
      </c>
      <c r="D514" s="72" t="s">
        <v>911</v>
      </c>
      <c r="E514" s="72" t="s">
        <v>909</v>
      </c>
      <c r="F514" s="72" t="s">
        <v>154</v>
      </c>
      <c r="G514" s="90">
        <v>6944</v>
      </c>
      <c r="H514" s="74">
        <v>4.05</v>
      </c>
      <c r="I514" s="83">
        <f>G514*H514</f>
        <v>28123.199999999997</v>
      </c>
      <c r="J514" s="72" t="s">
        <v>543</v>
      </c>
      <c r="K514" s="71">
        <v>42452</v>
      </c>
      <c r="L514" s="72" t="s">
        <v>119</v>
      </c>
      <c r="M514" s="78"/>
    </row>
    <row r="515" spans="1:13" s="79" customFormat="1" ht="17.25" customHeight="1">
      <c r="A515" s="71">
        <v>42340</v>
      </c>
      <c r="B515" s="72" t="s">
        <v>907</v>
      </c>
      <c r="C515" s="72" t="s">
        <v>26</v>
      </c>
      <c r="D515" s="72" t="s">
        <v>912</v>
      </c>
      <c r="E515" s="72" t="s">
        <v>909</v>
      </c>
      <c r="F515" s="72" t="s">
        <v>154</v>
      </c>
      <c r="G515" s="90">
        <v>5256</v>
      </c>
      <c r="H515" s="74">
        <v>4.05</v>
      </c>
      <c r="I515" s="83">
        <f>G515*H515</f>
        <v>21286.799999999999</v>
      </c>
      <c r="J515" s="72" t="s">
        <v>543</v>
      </c>
      <c r="K515" s="71">
        <v>42452</v>
      </c>
      <c r="L515" s="72" t="s">
        <v>119</v>
      </c>
      <c r="M515" s="78"/>
    </row>
    <row r="516" spans="1:13" s="79" customFormat="1" ht="17.25" customHeight="1">
      <c r="A516" s="71">
        <v>42333</v>
      </c>
      <c r="B516" s="72" t="s">
        <v>913</v>
      </c>
      <c r="C516" s="72" t="s">
        <v>23</v>
      </c>
      <c r="D516" s="72" t="s">
        <v>914</v>
      </c>
      <c r="E516" s="72" t="s">
        <v>915</v>
      </c>
      <c r="F516" s="72" t="s">
        <v>117</v>
      </c>
      <c r="G516" s="91">
        <v>27293</v>
      </c>
      <c r="H516" s="74">
        <v>8.6999999999999993</v>
      </c>
      <c r="I516" s="75">
        <f t="shared" ref="I516:I538" si="20">G516*H516</f>
        <v>237449.09999999998</v>
      </c>
      <c r="J516" s="72" t="s">
        <v>171</v>
      </c>
      <c r="K516" s="71">
        <v>42466</v>
      </c>
      <c r="L516" s="72" t="s">
        <v>119</v>
      </c>
      <c r="M516" s="78"/>
    </row>
    <row r="517" spans="1:13" s="79" customFormat="1" ht="17.25" customHeight="1">
      <c r="A517" s="71">
        <v>42348</v>
      </c>
      <c r="B517" s="72" t="s">
        <v>913</v>
      </c>
      <c r="C517" s="72" t="s">
        <v>23</v>
      </c>
      <c r="D517" s="72" t="s">
        <v>916</v>
      </c>
      <c r="E517" s="72" t="s">
        <v>915</v>
      </c>
      <c r="F517" s="72" t="s">
        <v>199</v>
      </c>
      <c r="G517" s="90">
        <v>234</v>
      </c>
      <c r="H517" s="74">
        <v>8.5</v>
      </c>
      <c r="I517" s="75">
        <f t="shared" si="20"/>
        <v>1989</v>
      </c>
      <c r="J517" s="72" t="s">
        <v>171</v>
      </c>
      <c r="K517" s="71">
        <v>42466</v>
      </c>
      <c r="L517" s="72" t="s">
        <v>119</v>
      </c>
      <c r="M517" s="78"/>
    </row>
    <row r="518" spans="1:13" s="79" customFormat="1" ht="17.25" customHeight="1">
      <c r="A518" s="71">
        <v>42346</v>
      </c>
      <c r="B518" s="72" t="s">
        <v>913</v>
      </c>
      <c r="C518" s="72" t="s">
        <v>23</v>
      </c>
      <c r="D518" s="72" t="s">
        <v>917</v>
      </c>
      <c r="E518" s="72" t="s">
        <v>915</v>
      </c>
      <c r="F518" s="72" t="s">
        <v>646</v>
      </c>
      <c r="G518" s="73">
        <v>12</v>
      </c>
      <c r="H518" s="74">
        <v>8.5</v>
      </c>
      <c r="I518" s="75">
        <f t="shared" si="20"/>
        <v>102</v>
      </c>
      <c r="J518" s="72" t="s">
        <v>171</v>
      </c>
      <c r="K518" s="71">
        <v>42466</v>
      </c>
      <c r="L518" s="99" t="s">
        <v>119</v>
      </c>
      <c r="M518" s="78"/>
    </row>
    <row r="519" spans="1:13" s="79" customFormat="1" ht="17.25" customHeight="1">
      <c r="A519" s="71">
        <v>42341</v>
      </c>
      <c r="B519" s="72" t="s">
        <v>918</v>
      </c>
      <c r="C519" s="72" t="s">
        <v>919</v>
      </c>
      <c r="D519" s="72" t="s">
        <v>920</v>
      </c>
      <c r="E519" s="72" t="s">
        <v>846</v>
      </c>
      <c r="F519" s="72" t="s">
        <v>489</v>
      </c>
      <c r="G519" s="73">
        <v>396</v>
      </c>
      <c r="H519" s="74">
        <v>6.4</v>
      </c>
      <c r="I519" s="75">
        <f t="shared" si="20"/>
        <v>2534.4</v>
      </c>
      <c r="J519" s="72" t="s">
        <v>174</v>
      </c>
      <c r="K519" s="71">
        <v>42473</v>
      </c>
      <c r="L519" s="99" t="s">
        <v>119</v>
      </c>
      <c r="M519" s="78"/>
    </row>
    <row r="520" spans="1:13" s="79" customFormat="1" ht="17.25" customHeight="1">
      <c r="A520" s="71">
        <v>42341</v>
      </c>
      <c r="B520" s="72" t="s">
        <v>918</v>
      </c>
      <c r="C520" s="72" t="s">
        <v>919</v>
      </c>
      <c r="D520" s="72" t="s">
        <v>921</v>
      </c>
      <c r="E520" s="72" t="s">
        <v>846</v>
      </c>
      <c r="F520" s="72" t="s">
        <v>173</v>
      </c>
      <c r="G520" s="91">
        <v>564</v>
      </c>
      <c r="H520" s="74">
        <v>6.6</v>
      </c>
      <c r="I520" s="75">
        <f t="shared" si="20"/>
        <v>3722.3999999999996</v>
      </c>
      <c r="J520" s="72" t="s">
        <v>174</v>
      </c>
      <c r="K520" s="71">
        <v>42473</v>
      </c>
      <c r="L520" s="99" t="s">
        <v>119</v>
      </c>
      <c r="M520" s="78"/>
    </row>
    <row r="521" spans="1:13" s="79" customFormat="1" ht="17.25" customHeight="1">
      <c r="A521" s="71">
        <v>42341</v>
      </c>
      <c r="B521" s="72" t="s">
        <v>918</v>
      </c>
      <c r="C521" s="72" t="s">
        <v>919</v>
      </c>
      <c r="D521" s="72" t="s">
        <v>922</v>
      </c>
      <c r="E521" s="72" t="s">
        <v>846</v>
      </c>
      <c r="F521" s="72" t="s">
        <v>356</v>
      </c>
      <c r="G521" s="90">
        <v>804</v>
      </c>
      <c r="H521" s="74">
        <v>6.4</v>
      </c>
      <c r="I521" s="75">
        <f t="shared" si="20"/>
        <v>5145.6000000000004</v>
      </c>
      <c r="J521" s="72" t="s">
        <v>174</v>
      </c>
      <c r="K521" s="71">
        <v>42473</v>
      </c>
      <c r="L521" s="99" t="s">
        <v>119</v>
      </c>
      <c r="M521" s="78"/>
    </row>
    <row r="522" spans="1:13" s="79" customFormat="1" ht="17.25" customHeight="1">
      <c r="A522" s="71">
        <v>42390</v>
      </c>
      <c r="B522" s="72" t="s">
        <v>918</v>
      </c>
      <c r="C522" s="72" t="s">
        <v>919</v>
      </c>
      <c r="D522" s="72" t="s">
        <v>923</v>
      </c>
      <c r="E522" s="72" t="s">
        <v>846</v>
      </c>
      <c r="F522" s="72" t="s">
        <v>342</v>
      </c>
      <c r="G522" s="73">
        <v>630</v>
      </c>
      <c r="H522" s="74">
        <v>6.6</v>
      </c>
      <c r="I522" s="75">
        <f t="shared" si="20"/>
        <v>4158</v>
      </c>
      <c r="J522" s="72" t="s">
        <v>174</v>
      </c>
      <c r="K522" s="71">
        <v>42473</v>
      </c>
      <c r="L522" s="99" t="s">
        <v>119</v>
      </c>
      <c r="M522" s="78"/>
    </row>
    <row r="523" spans="1:13" s="79" customFormat="1" ht="17.25" customHeight="1">
      <c r="A523" s="71">
        <v>42387</v>
      </c>
      <c r="B523" s="72" t="s">
        <v>918</v>
      </c>
      <c r="C523" s="72" t="s">
        <v>919</v>
      </c>
      <c r="D523" s="72" t="s">
        <v>924</v>
      </c>
      <c r="E523" s="72" t="s">
        <v>846</v>
      </c>
      <c r="F523" s="72" t="s">
        <v>173</v>
      </c>
      <c r="G523" s="73">
        <v>6</v>
      </c>
      <c r="H523" s="74">
        <v>6.4</v>
      </c>
      <c r="I523" s="75">
        <f t="shared" si="20"/>
        <v>38.400000000000006</v>
      </c>
      <c r="J523" s="72" t="s">
        <v>174</v>
      </c>
      <c r="K523" s="71">
        <v>42473</v>
      </c>
      <c r="L523" s="99" t="s">
        <v>119</v>
      </c>
      <c r="M523" s="78"/>
    </row>
    <row r="524" spans="1:13" s="79" customFormat="1" ht="17.25" customHeight="1">
      <c r="A524" s="71">
        <v>42361</v>
      </c>
      <c r="B524" s="72" t="s">
        <v>913</v>
      </c>
      <c r="C524" s="72" t="s">
        <v>121</v>
      </c>
      <c r="D524" s="72" t="s">
        <v>925</v>
      </c>
      <c r="E524" s="72" t="s">
        <v>926</v>
      </c>
      <c r="F524" s="72" t="s">
        <v>117</v>
      </c>
      <c r="G524" s="73">
        <v>13876</v>
      </c>
      <c r="H524" s="74">
        <v>5.5</v>
      </c>
      <c r="I524" s="75">
        <f t="shared" si="20"/>
        <v>76318</v>
      </c>
      <c r="J524" s="72" t="s">
        <v>155</v>
      </c>
      <c r="K524" s="71">
        <v>42487</v>
      </c>
      <c r="L524" s="99" t="s">
        <v>119</v>
      </c>
      <c r="M524" s="78"/>
    </row>
    <row r="525" spans="1:13" s="79" customFormat="1" ht="17.25" customHeight="1">
      <c r="A525" s="71">
        <v>42383</v>
      </c>
      <c r="B525" s="72" t="s">
        <v>913</v>
      </c>
      <c r="C525" s="72" t="s">
        <v>121</v>
      </c>
      <c r="D525" s="72" t="s">
        <v>927</v>
      </c>
      <c r="E525" s="72" t="s">
        <v>926</v>
      </c>
      <c r="F525" s="72" t="s">
        <v>199</v>
      </c>
      <c r="G525" s="73">
        <v>62</v>
      </c>
      <c r="H525" s="74">
        <v>5.3</v>
      </c>
      <c r="I525" s="75">
        <f t="shared" si="20"/>
        <v>328.59999999999997</v>
      </c>
      <c r="J525" s="72" t="s">
        <v>155</v>
      </c>
      <c r="K525" s="71">
        <v>42487</v>
      </c>
      <c r="L525" s="99" t="s">
        <v>119</v>
      </c>
      <c r="M525" s="78"/>
    </row>
    <row r="526" spans="1:13" s="79" customFormat="1" ht="17.25" customHeight="1">
      <c r="A526" s="71">
        <v>42369</v>
      </c>
      <c r="B526" s="72" t="s">
        <v>913</v>
      </c>
      <c r="C526" s="72" t="s">
        <v>121</v>
      </c>
      <c r="D526" s="72" t="s">
        <v>928</v>
      </c>
      <c r="E526" s="72" t="s">
        <v>926</v>
      </c>
      <c r="F526" s="72"/>
      <c r="G526" s="73">
        <v>6</v>
      </c>
      <c r="H526" s="74">
        <v>5.3</v>
      </c>
      <c r="I526" s="75">
        <f t="shared" si="20"/>
        <v>31.799999999999997</v>
      </c>
      <c r="J526" s="72" t="s">
        <v>155</v>
      </c>
      <c r="K526" s="71">
        <v>42487</v>
      </c>
      <c r="L526" s="99" t="s">
        <v>119</v>
      </c>
      <c r="M526" s="78"/>
    </row>
    <row r="527" spans="1:13" s="79" customFormat="1" ht="17.25" customHeight="1">
      <c r="A527" s="71">
        <v>42361</v>
      </c>
      <c r="B527" s="72" t="s">
        <v>913</v>
      </c>
      <c r="C527" s="72" t="s">
        <v>121</v>
      </c>
      <c r="D527" s="72" t="s">
        <v>929</v>
      </c>
      <c r="E527" s="72" t="s">
        <v>930</v>
      </c>
      <c r="F527" s="72" t="s">
        <v>117</v>
      </c>
      <c r="G527" s="73">
        <v>15127</v>
      </c>
      <c r="H527" s="74">
        <v>5.5</v>
      </c>
      <c r="I527" s="75">
        <f t="shared" si="20"/>
        <v>83198.5</v>
      </c>
      <c r="J527" s="72" t="s">
        <v>155</v>
      </c>
      <c r="K527" s="71">
        <v>42487</v>
      </c>
      <c r="L527" s="99" t="s">
        <v>119</v>
      </c>
      <c r="M527" s="78"/>
    </row>
    <row r="528" spans="1:13" s="79" customFormat="1" ht="17.25" customHeight="1">
      <c r="A528" s="71">
        <v>42383</v>
      </c>
      <c r="B528" s="72" t="s">
        <v>913</v>
      </c>
      <c r="C528" s="72" t="s">
        <v>121</v>
      </c>
      <c r="D528" s="72" t="s">
        <v>931</v>
      </c>
      <c r="E528" s="72" t="s">
        <v>930</v>
      </c>
      <c r="F528" s="72" t="s">
        <v>199</v>
      </c>
      <c r="G528" s="73">
        <v>69</v>
      </c>
      <c r="H528" s="74">
        <v>5.3</v>
      </c>
      <c r="I528" s="75">
        <f t="shared" si="20"/>
        <v>365.7</v>
      </c>
      <c r="J528" s="72" t="s">
        <v>155</v>
      </c>
      <c r="K528" s="71">
        <v>42487</v>
      </c>
      <c r="L528" s="99" t="s">
        <v>119</v>
      </c>
      <c r="M528" s="78"/>
    </row>
    <row r="529" spans="1:13" s="79" customFormat="1" ht="17.25" customHeight="1">
      <c r="A529" s="71">
        <v>42369</v>
      </c>
      <c r="B529" s="72" t="s">
        <v>913</v>
      </c>
      <c r="C529" s="72" t="s">
        <v>121</v>
      </c>
      <c r="D529" s="72" t="s">
        <v>932</v>
      </c>
      <c r="E529" s="72" t="s">
        <v>930</v>
      </c>
      <c r="F529" s="72"/>
      <c r="G529" s="73">
        <v>6</v>
      </c>
      <c r="H529" s="74">
        <v>5.3</v>
      </c>
      <c r="I529" s="75">
        <f t="shared" si="20"/>
        <v>31.799999999999997</v>
      </c>
      <c r="J529" s="72" t="s">
        <v>155</v>
      </c>
      <c r="K529" s="71">
        <v>42487</v>
      </c>
      <c r="L529" s="99" t="s">
        <v>119</v>
      </c>
      <c r="M529" s="78"/>
    </row>
    <row r="530" spans="1:13" s="79" customFormat="1" ht="17.25" customHeight="1">
      <c r="A530" s="71">
        <v>42367</v>
      </c>
      <c r="B530" s="72" t="s">
        <v>918</v>
      </c>
      <c r="C530" s="72" t="s">
        <v>121</v>
      </c>
      <c r="D530" s="72" t="s">
        <v>933</v>
      </c>
      <c r="E530" s="72" t="s">
        <v>934</v>
      </c>
      <c r="F530" s="72"/>
      <c r="G530" s="73">
        <v>2016</v>
      </c>
      <c r="H530" s="74">
        <v>6.1</v>
      </c>
      <c r="I530" s="75">
        <f t="shared" si="20"/>
        <v>12297.599999999999</v>
      </c>
      <c r="J530" s="72" t="s">
        <v>136</v>
      </c>
      <c r="K530" s="71">
        <v>42501</v>
      </c>
      <c r="L530" s="99" t="s">
        <v>119</v>
      </c>
      <c r="M530" s="78"/>
    </row>
    <row r="531" spans="1:13" s="79" customFormat="1" ht="17.25" customHeight="1">
      <c r="A531" s="71">
        <v>42367</v>
      </c>
      <c r="B531" s="72" t="s">
        <v>918</v>
      </c>
      <c r="C531" s="72" t="s">
        <v>121</v>
      </c>
      <c r="D531" s="72" t="s">
        <v>935</v>
      </c>
      <c r="E531" s="72" t="s">
        <v>934</v>
      </c>
      <c r="F531" s="72"/>
      <c r="G531" s="73">
        <v>144</v>
      </c>
      <c r="H531" s="74">
        <v>6.1</v>
      </c>
      <c r="I531" s="75">
        <f t="shared" si="20"/>
        <v>878.4</v>
      </c>
      <c r="J531" s="72" t="s">
        <v>136</v>
      </c>
      <c r="K531" s="71">
        <v>42501</v>
      </c>
      <c r="L531" s="99" t="s">
        <v>119</v>
      </c>
      <c r="M531" s="78"/>
    </row>
    <row r="532" spans="1:13" s="79" customFormat="1" ht="17.25" customHeight="1">
      <c r="A532" s="71">
        <v>42367</v>
      </c>
      <c r="B532" s="72" t="s">
        <v>918</v>
      </c>
      <c r="C532" s="72" t="s">
        <v>121</v>
      </c>
      <c r="D532" s="72" t="s">
        <v>936</v>
      </c>
      <c r="E532" s="72" t="s">
        <v>934</v>
      </c>
      <c r="F532" s="72"/>
      <c r="G532" s="73">
        <v>96</v>
      </c>
      <c r="H532" s="74">
        <v>5.9</v>
      </c>
      <c r="I532" s="75">
        <f t="shared" si="20"/>
        <v>566.40000000000009</v>
      </c>
      <c r="J532" s="72" t="s">
        <v>136</v>
      </c>
      <c r="K532" s="71">
        <v>42501</v>
      </c>
      <c r="L532" s="99" t="s">
        <v>119</v>
      </c>
      <c r="M532" s="78"/>
    </row>
    <row r="533" spans="1:13" s="79" customFormat="1" ht="17.25" customHeight="1">
      <c r="A533" s="71">
        <v>42377</v>
      </c>
      <c r="B533" s="72" t="s">
        <v>918</v>
      </c>
      <c r="C533" s="72" t="s">
        <v>30</v>
      </c>
      <c r="D533" s="72" t="s">
        <v>937</v>
      </c>
      <c r="E533" s="72" t="s">
        <v>938</v>
      </c>
      <c r="F533" s="72" t="s">
        <v>173</v>
      </c>
      <c r="G533" s="73">
        <v>1440</v>
      </c>
      <c r="H533" s="74">
        <v>6.3</v>
      </c>
      <c r="I533" s="75">
        <f t="shared" si="20"/>
        <v>9072</v>
      </c>
      <c r="J533" s="72" t="s">
        <v>232</v>
      </c>
      <c r="K533" s="71">
        <v>42501</v>
      </c>
      <c r="L533" s="99" t="s">
        <v>119</v>
      </c>
      <c r="M533" s="78"/>
    </row>
    <row r="534" spans="1:13" s="79" customFormat="1" ht="17.25" customHeight="1">
      <c r="A534" s="71">
        <v>42377</v>
      </c>
      <c r="B534" s="72" t="s">
        <v>918</v>
      </c>
      <c r="C534" s="72" t="s">
        <v>30</v>
      </c>
      <c r="D534" s="72" t="s">
        <v>939</v>
      </c>
      <c r="E534" s="72" t="s">
        <v>938</v>
      </c>
      <c r="F534" s="72" t="s">
        <v>345</v>
      </c>
      <c r="G534" s="73">
        <v>960</v>
      </c>
      <c r="H534" s="74">
        <v>6.1</v>
      </c>
      <c r="I534" s="75">
        <f t="shared" si="20"/>
        <v>5856</v>
      </c>
      <c r="J534" s="72" t="s">
        <v>232</v>
      </c>
      <c r="K534" s="71">
        <v>42501</v>
      </c>
      <c r="L534" s="99" t="s">
        <v>119</v>
      </c>
      <c r="M534" s="78"/>
    </row>
    <row r="535" spans="1:13" s="79" customFormat="1" ht="17.25" customHeight="1">
      <c r="A535" s="71">
        <v>42356</v>
      </c>
      <c r="B535" s="72" t="s">
        <v>918</v>
      </c>
      <c r="C535" s="72" t="s">
        <v>30</v>
      </c>
      <c r="D535" s="72" t="s">
        <v>940</v>
      </c>
      <c r="E535" s="72" t="s">
        <v>941</v>
      </c>
      <c r="F535" s="72"/>
      <c r="G535" s="73">
        <v>240</v>
      </c>
      <c r="H535" s="74">
        <v>8</v>
      </c>
      <c r="I535" s="83">
        <f t="shared" si="20"/>
        <v>1920</v>
      </c>
      <c r="J535" s="72" t="s">
        <v>942</v>
      </c>
      <c r="K535" s="71">
        <v>42475</v>
      </c>
      <c r="L535" s="99" t="s">
        <v>119</v>
      </c>
      <c r="M535" s="78"/>
    </row>
    <row r="536" spans="1:13" s="79" customFormat="1" ht="17.25" customHeight="1">
      <c r="A536" s="71">
        <v>42356</v>
      </c>
      <c r="B536" s="72" t="s">
        <v>918</v>
      </c>
      <c r="C536" s="72" t="s">
        <v>30</v>
      </c>
      <c r="D536" s="72" t="s">
        <v>943</v>
      </c>
      <c r="E536" s="72" t="s">
        <v>941</v>
      </c>
      <c r="F536" s="72"/>
      <c r="G536" s="73">
        <v>1577</v>
      </c>
      <c r="H536" s="74">
        <v>8.15</v>
      </c>
      <c r="I536" s="83">
        <f t="shared" si="20"/>
        <v>12852.550000000001</v>
      </c>
      <c r="J536" s="72" t="s">
        <v>942</v>
      </c>
      <c r="K536" s="71">
        <v>42475</v>
      </c>
      <c r="L536" s="99" t="s">
        <v>119</v>
      </c>
      <c r="M536" s="78"/>
    </row>
    <row r="537" spans="1:13" s="79" customFormat="1" ht="17.25" customHeight="1">
      <c r="A537" s="71">
        <v>42382</v>
      </c>
      <c r="B537" s="72" t="s">
        <v>918</v>
      </c>
      <c r="C537" s="72" t="s">
        <v>30</v>
      </c>
      <c r="D537" s="72" t="s">
        <v>944</v>
      </c>
      <c r="E537" s="72" t="s">
        <v>945</v>
      </c>
      <c r="F537" s="72"/>
      <c r="G537" s="73">
        <v>120</v>
      </c>
      <c r="H537" s="74">
        <v>8.15</v>
      </c>
      <c r="I537" s="83">
        <f t="shared" si="20"/>
        <v>978</v>
      </c>
      <c r="J537" s="72" t="s">
        <v>942</v>
      </c>
      <c r="K537" s="71">
        <v>42475</v>
      </c>
      <c r="L537" s="99" t="s">
        <v>119</v>
      </c>
      <c r="M537" s="78"/>
    </row>
    <row r="538" spans="1:13" s="79" customFormat="1" ht="17.25" customHeight="1">
      <c r="A538" s="71">
        <v>42382</v>
      </c>
      <c r="B538" s="72" t="s">
        <v>918</v>
      </c>
      <c r="C538" s="72" t="s">
        <v>30</v>
      </c>
      <c r="D538" s="72" t="s">
        <v>944</v>
      </c>
      <c r="E538" s="72" t="s">
        <v>945</v>
      </c>
      <c r="F538" s="72"/>
      <c r="G538" s="73">
        <v>764</v>
      </c>
      <c r="H538" s="74">
        <v>8.3000000000000007</v>
      </c>
      <c r="I538" s="83">
        <f t="shared" si="20"/>
        <v>6341.2000000000007</v>
      </c>
      <c r="J538" s="72" t="s">
        <v>942</v>
      </c>
      <c r="K538" s="71">
        <v>42475</v>
      </c>
      <c r="L538" s="99" t="s">
        <v>119</v>
      </c>
      <c r="M538" s="78"/>
    </row>
    <row r="539" spans="1:13" s="79" customFormat="1" ht="17.25" customHeight="1">
      <c r="A539" s="71">
        <v>42339</v>
      </c>
      <c r="B539" s="72" t="s">
        <v>946</v>
      </c>
      <c r="C539" s="72" t="s">
        <v>33</v>
      </c>
      <c r="D539" s="72" t="s">
        <v>947</v>
      </c>
      <c r="E539" s="72" t="s">
        <v>948</v>
      </c>
      <c r="F539" s="98" t="s">
        <v>381</v>
      </c>
      <c r="G539" s="73">
        <v>144</v>
      </c>
      <c r="H539" s="74">
        <v>6</v>
      </c>
      <c r="I539" s="75">
        <f>G539*H539</f>
        <v>864</v>
      </c>
      <c r="J539" s="72" t="s">
        <v>366</v>
      </c>
      <c r="K539" s="116">
        <v>42452</v>
      </c>
      <c r="L539" s="99" t="s">
        <v>130</v>
      </c>
      <c r="M539" s="78"/>
    </row>
    <row r="540" spans="1:13" s="79" customFormat="1" ht="17.25" customHeight="1">
      <c r="A540" s="71">
        <v>42339</v>
      </c>
      <c r="B540" s="72" t="s">
        <v>946</v>
      </c>
      <c r="C540" s="72" t="s">
        <v>33</v>
      </c>
      <c r="D540" s="72" t="s">
        <v>947</v>
      </c>
      <c r="E540" s="72" t="s">
        <v>949</v>
      </c>
      <c r="F540" s="98" t="s">
        <v>381</v>
      </c>
      <c r="G540" s="73">
        <v>144</v>
      </c>
      <c r="H540" s="74">
        <v>5.55</v>
      </c>
      <c r="I540" s="75">
        <f>G540*H540</f>
        <v>799.19999999999993</v>
      </c>
      <c r="J540" s="72" t="s">
        <v>174</v>
      </c>
      <c r="K540" s="116">
        <v>42466</v>
      </c>
      <c r="L540" s="99" t="s">
        <v>130</v>
      </c>
      <c r="M540" s="78"/>
    </row>
    <row r="541" spans="1:13" s="79" customFormat="1" ht="17.25" customHeight="1">
      <c r="A541" s="71">
        <v>42339</v>
      </c>
      <c r="B541" s="72" t="s">
        <v>946</v>
      </c>
      <c r="C541" s="72" t="s">
        <v>33</v>
      </c>
      <c r="D541" s="72" t="s">
        <v>950</v>
      </c>
      <c r="E541" s="72" t="s">
        <v>948</v>
      </c>
      <c r="F541" s="98" t="s">
        <v>381</v>
      </c>
      <c r="G541" s="73">
        <v>2856</v>
      </c>
      <c r="H541" s="74">
        <v>6</v>
      </c>
      <c r="I541" s="75">
        <f>G541*H541</f>
        <v>17136</v>
      </c>
      <c r="J541" s="72" t="s">
        <v>366</v>
      </c>
      <c r="K541" s="116">
        <v>42452</v>
      </c>
      <c r="L541" s="99" t="s">
        <v>130</v>
      </c>
      <c r="M541" s="78"/>
    </row>
    <row r="542" spans="1:13" s="79" customFormat="1" ht="17.25" customHeight="1">
      <c r="A542" s="71">
        <v>42339</v>
      </c>
      <c r="B542" s="72" t="s">
        <v>946</v>
      </c>
      <c r="C542" s="72" t="s">
        <v>33</v>
      </c>
      <c r="D542" s="72" t="s">
        <v>950</v>
      </c>
      <c r="E542" s="72" t="s">
        <v>949</v>
      </c>
      <c r="F542" s="98" t="s">
        <v>381</v>
      </c>
      <c r="G542" s="73">
        <v>2856</v>
      </c>
      <c r="H542" s="74">
        <v>5.55</v>
      </c>
      <c r="I542" s="75">
        <f>G542*H542</f>
        <v>15850.8</v>
      </c>
      <c r="J542" s="72" t="s">
        <v>174</v>
      </c>
      <c r="K542" s="116">
        <v>42466</v>
      </c>
      <c r="L542" s="99" t="s">
        <v>130</v>
      </c>
      <c r="M542" s="78"/>
    </row>
    <row r="543" spans="1:13" s="79" customFormat="1" ht="17.25" customHeight="1">
      <c r="A543" s="71">
        <v>42355</v>
      </c>
      <c r="B543" s="72" t="s">
        <v>951</v>
      </c>
      <c r="C543" s="72" t="s">
        <v>29</v>
      </c>
      <c r="D543" s="72" t="s">
        <v>952</v>
      </c>
      <c r="E543" s="72" t="s">
        <v>953</v>
      </c>
      <c r="F543" s="72" t="s">
        <v>356</v>
      </c>
      <c r="G543" s="73">
        <v>7665</v>
      </c>
      <c r="H543" s="74">
        <v>4.95</v>
      </c>
      <c r="I543" s="75">
        <f t="shared" ref="I543:I569" si="21">G543*H543</f>
        <v>37941.75</v>
      </c>
      <c r="J543" s="72" t="s">
        <v>174</v>
      </c>
      <c r="K543" s="71">
        <v>42473</v>
      </c>
      <c r="L543" s="99" t="s">
        <v>130</v>
      </c>
      <c r="M543" s="78"/>
    </row>
    <row r="544" spans="1:13" s="79" customFormat="1" ht="17.25" customHeight="1">
      <c r="A544" s="71">
        <v>42355</v>
      </c>
      <c r="B544" s="72" t="s">
        <v>951</v>
      </c>
      <c r="C544" s="72" t="s">
        <v>29</v>
      </c>
      <c r="D544" s="72" t="s">
        <v>954</v>
      </c>
      <c r="E544" s="72" t="s">
        <v>953</v>
      </c>
      <c r="F544" s="72" t="s">
        <v>356</v>
      </c>
      <c r="G544" s="73">
        <v>5106</v>
      </c>
      <c r="H544" s="74">
        <v>4.95</v>
      </c>
      <c r="I544" s="75">
        <f t="shared" si="21"/>
        <v>25274.7</v>
      </c>
      <c r="J544" s="72" t="s">
        <v>174</v>
      </c>
      <c r="K544" s="71">
        <v>42473</v>
      </c>
      <c r="L544" s="99" t="s">
        <v>130</v>
      </c>
      <c r="M544" s="78"/>
    </row>
    <row r="545" spans="1:13" s="79" customFormat="1" ht="17.25" customHeight="1">
      <c r="A545" s="71">
        <v>42355</v>
      </c>
      <c r="B545" s="72" t="s">
        <v>951</v>
      </c>
      <c r="C545" s="72" t="s">
        <v>29</v>
      </c>
      <c r="D545" s="72" t="s">
        <v>955</v>
      </c>
      <c r="E545" s="72" t="s">
        <v>953</v>
      </c>
      <c r="F545" s="72" t="s">
        <v>356</v>
      </c>
      <c r="G545" s="73">
        <v>120</v>
      </c>
      <c r="H545" s="74">
        <v>4.95</v>
      </c>
      <c r="I545" s="75">
        <f t="shared" si="21"/>
        <v>594</v>
      </c>
      <c r="J545" s="72" t="s">
        <v>174</v>
      </c>
      <c r="K545" s="71">
        <v>42473</v>
      </c>
      <c r="L545" s="99" t="s">
        <v>130</v>
      </c>
      <c r="M545" s="78"/>
    </row>
    <row r="546" spans="1:13" s="79" customFormat="1" ht="17.25" customHeight="1">
      <c r="A546" s="71">
        <v>42362</v>
      </c>
      <c r="B546" s="72" t="s">
        <v>951</v>
      </c>
      <c r="C546" s="72" t="s">
        <v>919</v>
      </c>
      <c r="D546" s="72" t="s">
        <v>956</v>
      </c>
      <c r="E546" s="72" t="s">
        <v>957</v>
      </c>
      <c r="F546" s="72" t="s">
        <v>356</v>
      </c>
      <c r="G546" s="73">
        <v>3486</v>
      </c>
      <c r="H546" s="74">
        <v>6.1</v>
      </c>
      <c r="I546" s="75">
        <f t="shared" si="21"/>
        <v>21264.6</v>
      </c>
      <c r="J546" s="72" t="s">
        <v>174</v>
      </c>
      <c r="K546" s="71">
        <v>42473</v>
      </c>
      <c r="L546" s="99" t="s">
        <v>130</v>
      </c>
      <c r="M546" s="78"/>
    </row>
    <row r="547" spans="1:13" s="79" customFormat="1" ht="17.25" customHeight="1">
      <c r="A547" s="71">
        <v>42362</v>
      </c>
      <c r="B547" s="72" t="s">
        <v>951</v>
      </c>
      <c r="C547" s="72" t="s">
        <v>919</v>
      </c>
      <c r="D547" s="72" t="s">
        <v>958</v>
      </c>
      <c r="E547" s="72" t="s">
        <v>957</v>
      </c>
      <c r="F547" s="72" t="s">
        <v>356</v>
      </c>
      <c r="G547" s="73">
        <v>5229</v>
      </c>
      <c r="H547" s="74">
        <v>6.1</v>
      </c>
      <c r="I547" s="75">
        <f t="shared" si="21"/>
        <v>31896.899999999998</v>
      </c>
      <c r="J547" s="72" t="s">
        <v>174</v>
      </c>
      <c r="K547" s="71">
        <v>42473</v>
      </c>
      <c r="L547" s="99" t="s">
        <v>130</v>
      </c>
      <c r="M547" s="78"/>
    </row>
    <row r="548" spans="1:13" s="79" customFormat="1" ht="17.25" customHeight="1">
      <c r="A548" s="71">
        <v>42362</v>
      </c>
      <c r="B548" s="72" t="s">
        <v>951</v>
      </c>
      <c r="C548" s="72" t="s">
        <v>919</v>
      </c>
      <c r="D548" s="72" t="s">
        <v>959</v>
      </c>
      <c r="E548" s="72" t="s">
        <v>957</v>
      </c>
      <c r="F548" s="72" t="s">
        <v>356</v>
      </c>
      <c r="G548" s="73">
        <v>120</v>
      </c>
      <c r="H548" s="74">
        <v>6.1</v>
      </c>
      <c r="I548" s="75">
        <f t="shared" si="21"/>
        <v>732</v>
      </c>
      <c r="J548" s="72" t="s">
        <v>174</v>
      </c>
      <c r="K548" s="71">
        <v>42473</v>
      </c>
      <c r="L548" s="99" t="s">
        <v>130</v>
      </c>
      <c r="M548" s="78"/>
    </row>
    <row r="549" spans="1:13" s="79" customFormat="1" ht="17.25" customHeight="1">
      <c r="A549" s="71">
        <v>42362</v>
      </c>
      <c r="B549" s="72" t="s">
        <v>951</v>
      </c>
      <c r="C549" s="72" t="s">
        <v>919</v>
      </c>
      <c r="D549" s="72" t="s">
        <v>960</v>
      </c>
      <c r="E549" s="72" t="s">
        <v>961</v>
      </c>
      <c r="F549" s="72" t="s">
        <v>356</v>
      </c>
      <c r="G549" s="73">
        <v>180</v>
      </c>
      <c r="H549" s="74">
        <v>7</v>
      </c>
      <c r="I549" s="75">
        <f t="shared" si="21"/>
        <v>1260</v>
      </c>
      <c r="J549" s="72" t="s">
        <v>174</v>
      </c>
      <c r="K549" s="71">
        <v>42473</v>
      </c>
      <c r="L549" s="99" t="s">
        <v>130</v>
      </c>
      <c r="M549" s="78"/>
    </row>
    <row r="550" spans="1:13" s="79" customFormat="1" ht="17.25" customHeight="1">
      <c r="A550" s="71">
        <v>42362</v>
      </c>
      <c r="B550" s="72" t="s">
        <v>951</v>
      </c>
      <c r="C550" s="72" t="s">
        <v>919</v>
      </c>
      <c r="D550" s="72" t="s">
        <v>962</v>
      </c>
      <c r="E550" s="72" t="s">
        <v>961</v>
      </c>
      <c r="F550" s="72" t="s">
        <v>356</v>
      </c>
      <c r="G550" s="73">
        <v>4620</v>
      </c>
      <c r="H550" s="74">
        <v>7</v>
      </c>
      <c r="I550" s="75">
        <f t="shared" si="21"/>
        <v>32340</v>
      </c>
      <c r="J550" s="72" t="s">
        <v>174</v>
      </c>
      <c r="K550" s="71">
        <v>42473</v>
      </c>
      <c r="L550" s="99" t="s">
        <v>130</v>
      </c>
      <c r="M550" s="78"/>
    </row>
    <row r="551" spans="1:13" s="79" customFormat="1" ht="17.25" customHeight="1">
      <c r="A551" s="71">
        <v>42362</v>
      </c>
      <c r="B551" s="72" t="s">
        <v>951</v>
      </c>
      <c r="C551" s="72" t="s">
        <v>919</v>
      </c>
      <c r="D551" s="72" t="s">
        <v>963</v>
      </c>
      <c r="E551" s="72" t="s">
        <v>961</v>
      </c>
      <c r="F551" s="72" t="s">
        <v>356</v>
      </c>
      <c r="G551" s="73">
        <v>1980</v>
      </c>
      <c r="H551" s="74">
        <v>7</v>
      </c>
      <c r="I551" s="75">
        <f t="shared" si="21"/>
        <v>13860</v>
      </c>
      <c r="J551" s="72" t="s">
        <v>174</v>
      </c>
      <c r="K551" s="71">
        <v>42473</v>
      </c>
      <c r="L551" s="99" t="s">
        <v>130</v>
      </c>
      <c r="M551" s="78"/>
    </row>
    <row r="552" spans="1:13" s="79" customFormat="1" ht="17.25" customHeight="1">
      <c r="A552" s="71">
        <v>42367</v>
      </c>
      <c r="B552" s="72" t="s">
        <v>951</v>
      </c>
      <c r="C552" s="72" t="s">
        <v>25</v>
      </c>
      <c r="D552" s="72" t="s">
        <v>964</v>
      </c>
      <c r="E552" s="72" t="s">
        <v>965</v>
      </c>
      <c r="F552" s="72"/>
      <c r="G552" s="73">
        <v>5032</v>
      </c>
      <c r="H552" s="74">
        <v>6</v>
      </c>
      <c r="I552" s="75">
        <f t="shared" si="21"/>
        <v>30192</v>
      </c>
      <c r="J552" s="72" t="s">
        <v>966</v>
      </c>
      <c r="K552" s="71">
        <v>42536</v>
      </c>
      <c r="L552" s="99" t="s">
        <v>130</v>
      </c>
      <c r="M552" s="78"/>
    </row>
    <row r="553" spans="1:13" s="79" customFormat="1" ht="17.25" customHeight="1">
      <c r="A553" s="71">
        <v>42367</v>
      </c>
      <c r="B553" s="72" t="s">
        <v>951</v>
      </c>
      <c r="C553" s="72" t="s">
        <v>25</v>
      </c>
      <c r="D553" s="72" t="s">
        <v>967</v>
      </c>
      <c r="E553" s="72" t="s">
        <v>965</v>
      </c>
      <c r="F553" s="72"/>
      <c r="G553" s="73">
        <v>2000</v>
      </c>
      <c r="H553" s="74">
        <v>6</v>
      </c>
      <c r="I553" s="75">
        <f t="shared" si="21"/>
        <v>12000</v>
      </c>
      <c r="J553" s="72" t="s">
        <v>966</v>
      </c>
      <c r="K553" s="71">
        <v>42536</v>
      </c>
      <c r="L553" s="99" t="s">
        <v>130</v>
      </c>
      <c r="M553" s="78"/>
    </row>
    <row r="554" spans="1:13" s="79" customFormat="1" ht="17.25" customHeight="1">
      <c r="A554" s="71">
        <v>42367</v>
      </c>
      <c r="B554" s="72" t="s">
        <v>951</v>
      </c>
      <c r="C554" s="72" t="s">
        <v>25</v>
      </c>
      <c r="D554" s="72" t="s">
        <v>968</v>
      </c>
      <c r="E554" s="72" t="s">
        <v>965</v>
      </c>
      <c r="F554" s="72"/>
      <c r="G554" s="73">
        <v>408</v>
      </c>
      <c r="H554" s="74">
        <v>6</v>
      </c>
      <c r="I554" s="75">
        <f t="shared" si="21"/>
        <v>2448</v>
      </c>
      <c r="J554" s="72" t="s">
        <v>966</v>
      </c>
      <c r="K554" s="71">
        <v>42536</v>
      </c>
      <c r="L554" s="99" t="s">
        <v>130</v>
      </c>
      <c r="M554" s="78"/>
    </row>
    <row r="555" spans="1:13" s="79" customFormat="1" ht="17.25" customHeight="1">
      <c r="A555" s="71">
        <v>42367</v>
      </c>
      <c r="B555" s="72" t="s">
        <v>951</v>
      </c>
      <c r="C555" s="72" t="s">
        <v>25</v>
      </c>
      <c r="D555" s="72" t="s">
        <v>969</v>
      </c>
      <c r="E555" s="72" t="s">
        <v>965</v>
      </c>
      <c r="F555" s="72"/>
      <c r="G555" s="73">
        <v>152</v>
      </c>
      <c r="H555" s="74">
        <v>5.8</v>
      </c>
      <c r="I555" s="75">
        <f t="shared" si="21"/>
        <v>881.6</v>
      </c>
      <c r="J555" s="72" t="s">
        <v>966</v>
      </c>
      <c r="K555" s="71">
        <v>42536</v>
      </c>
      <c r="L555" s="99" t="s">
        <v>130</v>
      </c>
      <c r="M555" s="78"/>
    </row>
    <row r="556" spans="1:13" s="79" customFormat="1" ht="17.25" customHeight="1">
      <c r="A556" s="71">
        <v>42382</v>
      </c>
      <c r="B556" s="72" t="s">
        <v>951</v>
      </c>
      <c r="C556" s="72" t="s">
        <v>27</v>
      </c>
      <c r="D556" s="72" t="s">
        <v>970</v>
      </c>
      <c r="E556" s="72" t="s">
        <v>971</v>
      </c>
      <c r="F556" s="72" t="s">
        <v>492</v>
      </c>
      <c r="G556" s="73">
        <v>1026</v>
      </c>
      <c r="H556" s="74">
        <v>7</v>
      </c>
      <c r="I556" s="75">
        <f t="shared" si="21"/>
        <v>7182</v>
      </c>
      <c r="J556" s="72" t="s">
        <v>232</v>
      </c>
      <c r="K556" s="71">
        <v>42500</v>
      </c>
      <c r="L556" s="99" t="s">
        <v>130</v>
      </c>
      <c r="M556" s="78"/>
    </row>
    <row r="557" spans="1:13" s="79" customFormat="1" ht="17.25" customHeight="1">
      <c r="A557" s="71">
        <v>42391</v>
      </c>
      <c r="B557" s="72" t="s">
        <v>951</v>
      </c>
      <c r="C557" s="72" t="s">
        <v>27</v>
      </c>
      <c r="D557" s="72" t="s">
        <v>972</v>
      </c>
      <c r="E557" s="72" t="s">
        <v>971</v>
      </c>
      <c r="F557" s="72" t="s">
        <v>492</v>
      </c>
      <c r="G557" s="73">
        <v>1211</v>
      </c>
      <c r="H557" s="74">
        <v>7</v>
      </c>
      <c r="I557" s="75">
        <f t="shared" si="21"/>
        <v>8477</v>
      </c>
      <c r="J557" s="72" t="s">
        <v>232</v>
      </c>
      <c r="K557" s="71">
        <v>42500</v>
      </c>
      <c r="L557" s="99" t="s">
        <v>130</v>
      </c>
      <c r="M557" s="78"/>
    </row>
    <row r="558" spans="1:13" s="79" customFormat="1" ht="17.25" customHeight="1">
      <c r="A558" s="71">
        <v>42391</v>
      </c>
      <c r="B558" s="72" t="s">
        <v>951</v>
      </c>
      <c r="C558" s="72" t="s">
        <v>27</v>
      </c>
      <c r="D558" s="72" t="s">
        <v>973</v>
      </c>
      <c r="E558" s="72" t="s">
        <v>971</v>
      </c>
      <c r="F558" s="72" t="s">
        <v>492</v>
      </c>
      <c r="G558" s="73">
        <v>1362</v>
      </c>
      <c r="H558" s="74">
        <v>7</v>
      </c>
      <c r="I558" s="75">
        <f t="shared" si="21"/>
        <v>9534</v>
      </c>
      <c r="J558" s="72" t="s">
        <v>232</v>
      </c>
      <c r="K558" s="71">
        <v>42500</v>
      </c>
      <c r="L558" s="99" t="s">
        <v>130</v>
      </c>
      <c r="M558" s="78"/>
    </row>
    <row r="559" spans="1:13" s="79" customFormat="1" ht="17.25" customHeight="1">
      <c r="A559" s="71">
        <v>42391</v>
      </c>
      <c r="B559" s="72" t="s">
        <v>951</v>
      </c>
      <c r="C559" s="72" t="s">
        <v>27</v>
      </c>
      <c r="D559" s="72" t="s">
        <v>974</v>
      </c>
      <c r="E559" s="72" t="s">
        <v>971</v>
      </c>
      <c r="F559" s="72" t="s">
        <v>492</v>
      </c>
      <c r="G559" s="73">
        <v>1617</v>
      </c>
      <c r="H559" s="74">
        <v>7</v>
      </c>
      <c r="I559" s="75">
        <f t="shared" si="21"/>
        <v>11319</v>
      </c>
      <c r="J559" s="72" t="s">
        <v>232</v>
      </c>
      <c r="K559" s="71">
        <v>42500</v>
      </c>
      <c r="L559" s="99" t="s">
        <v>130</v>
      </c>
      <c r="M559" s="78"/>
    </row>
    <row r="560" spans="1:13" s="79" customFormat="1" ht="17.25" customHeight="1">
      <c r="A560" s="71">
        <v>42391</v>
      </c>
      <c r="B560" s="72" t="s">
        <v>951</v>
      </c>
      <c r="C560" s="72" t="s">
        <v>27</v>
      </c>
      <c r="D560" s="72" t="s">
        <v>975</v>
      </c>
      <c r="E560" s="72" t="s">
        <v>971</v>
      </c>
      <c r="F560" s="72" t="s">
        <v>492</v>
      </c>
      <c r="G560" s="73">
        <v>639</v>
      </c>
      <c r="H560" s="74">
        <v>7</v>
      </c>
      <c r="I560" s="75">
        <f t="shared" si="21"/>
        <v>4473</v>
      </c>
      <c r="J560" s="72" t="s">
        <v>232</v>
      </c>
      <c r="K560" s="71">
        <v>42500</v>
      </c>
      <c r="L560" s="99" t="s">
        <v>130</v>
      </c>
      <c r="M560" s="78"/>
    </row>
    <row r="561" spans="1:13" s="79" customFormat="1" ht="17.25" customHeight="1">
      <c r="A561" s="71">
        <v>42391</v>
      </c>
      <c r="B561" s="72" t="s">
        <v>951</v>
      </c>
      <c r="C561" s="72" t="s">
        <v>27</v>
      </c>
      <c r="D561" s="72" t="s">
        <v>976</v>
      </c>
      <c r="E561" s="72" t="s">
        <v>971</v>
      </c>
      <c r="F561" s="72" t="s">
        <v>492</v>
      </c>
      <c r="G561" s="73">
        <v>134</v>
      </c>
      <c r="H561" s="74">
        <v>7</v>
      </c>
      <c r="I561" s="75">
        <f t="shared" si="21"/>
        <v>938</v>
      </c>
      <c r="J561" s="72" t="s">
        <v>232</v>
      </c>
      <c r="K561" s="71">
        <v>42500</v>
      </c>
      <c r="L561" s="99" t="s">
        <v>130</v>
      </c>
      <c r="M561" s="78"/>
    </row>
    <row r="562" spans="1:13" s="79" customFormat="1" ht="17.25" customHeight="1">
      <c r="A562" s="71">
        <v>42334</v>
      </c>
      <c r="B562" s="72" t="s">
        <v>951</v>
      </c>
      <c r="C562" s="72" t="s">
        <v>30</v>
      </c>
      <c r="D562" s="72" t="s">
        <v>977</v>
      </c>
      <c r="E562" s="72" t="s">
        <v>978</v>
      </c>
      <c r="F562" s="98" t="s">
        <v>227</v>
      </c>
      <c r="G562" s="73">
        <v>7698</v>
      </c>
      <c r="H562" s="74"/>
      <c r="I562" s="75">
        <f t="shared" si="21"/>
        <v>0</v>
      </c>
      <c r="J562" s="72" t="s">
        <v>228</v>
      </c>
      <c r="K562" s="71">
        <v>42473</v>
      </c>
      <c r="L562" s="99" t="s">
        <v>130</v>
      </c>
      <c r="M562" s="78"/>
    </row>
    <row r="563" spans="1:13" s="79" customFormat="1" ht="17.25" customHeight="1">
      <c r="A563" s="71">
        <v>42334</v>
      </c>
      <c r="B563" s="72" t="s">
        <v>951</v>
      </c>
      <c r="C563" s="72" t="s">
        <v>30</v>
      </c>
      <c r="D563" s="72" t="s">
        <v>979</v>
      </c>
      <c r="E563" s="72" t="s">
        <v>978</v>
      </c>
      <c r="F563" s="98" t="s">
        <v>227</v>
      </c>
      <c r="G563" s="73">
        <v>609</v>
      </c>
      <c r="H563" s="74"/>
      <c r="I563" s="75">
        <f t="shared" si="21"/>
        <v>0</v>
      </c>
      <c r="J563" s="72" t="s">
        <v>228</v>
      </c>
      <c r="K563" s="71">
        <v>42473</v>
      </c>
      <c r="L563" s="99" t="s">
        <v>130</v>
      </c>
      <c r="M563" s="78"/>
    </row>
    <row r="564" spans="1:13" s="79" customFormat="1" ht="17.25" customHeight="1">
      <c r="A564" s="71">
        <v>42334</v>
      </c>
      <c r="B564" s="72" t="s">
        <v>951</v>
      </c>
      <c r="C564" s="72" t="s">
        <v>30</v>
      </c>
      <c r="D564" s="72" t="s">
        <v>980</v>
      </c>
      <c r="E564" s="72" t="s">
        <v>981</v>
      </c>
      <c r="F564" s="98" t="s">
        <v>227</v>
      </c>
      <c r="G564" s="73">
        <v>5352</v>
      </c>
      <c r="H564" s="74"/>
      <c r="I564" s="75">
        <f t="shared" si="21"/>
        <v>0</v>
      </c>
      <c r="J564" s="72" t="s">
        <v>228</v>
      </c>
      <c r="K564" s="71">
        <v>42473</v>
      </c>
      <c r="L564" s="99" t="s">
        <v>130</v>
      </c>
      <c r="M564" s="78"/>
    </row>
    <row r="565" spans="1:13" s="79" customFormat="1" ht="17.25" customHeight="1">
      <c r="A565" s="71">
        <v>42334</v>
      </c>
      <c r="B565" s="72" t="s">
        <v>951</v>
      </c>
      <c r="C565" s="72" t="s">
        <v>30</v>
      </c>
      <c r="D565" s="72" t="s">
        <v>982</v>
      </c>
      <c r="E565" s="72" t="s">
        <v>981</v>
      </c>
      <c r="F565" s="98" t="s">
        <v>227</v>
      </c>
      <c r="G565" s="73">
        <v>228</v>
      </c>
      <c r="H565" s="74"/>
      <c r="I565" s="75">
        <f t="shared" si="21"/>
        <v>0</v>
      </c>
      <c r="J565" s="72" t="s">
        <v>228</v>
      </c>
      <c r="K565" s="71">
        <v>42473</v>
      </c>
      <c r="L565" s="99" t="s">
        <v>130</v>
      </c>
      <c r="M565" s="78"/>
    </row>
    <row r="566" spans="1:13" s="79" customFormat="1" ht="17.25" customHeight="1">
      <c r="A566" s="71">
        <v>42423</v>
      </c>
      <c r="B566" s="72" t="s">
        <v>951</v>
      </c>
      <c r="C566" s="72" t="s">
        <v>32</v>
      </c>
      <c r="D566" s="72" t="s">
        <v>983</v>
      </c>
      <c r="E566" s="72" t="s">
        <v>984</v>
      </c>
      <c r="F566" s="72" t="s">
        <v>552</v>
      </c>
      <c r="G566" s="73">
        <v>2904</v>
      </c>
      <c r="H566" s="74">
        <v>4.8</v>
      </c>
      <c r="I566" s="83">
        <f t="shared" si="21"/>
        <v>13939.199999999999</v>
      </c>
      <c r="J566" s="71">
        <v>42506</v>
      </c>
      <c r="K566" s="71">
        <v>42522</v>
      </c>
      <c r="L566" s="99" t="s">
        <v>130</v>
      </c>
      <c r="M566" s="78"/>
    </row>
    <row r="567" spans="1:13" s="79" customFormat="1" ht="17.25" customHeight="1">
      <c r="A567" s="71">
        <v>42423</v>
      </c>
      <c r="B567" s="72" t="s">
        <v>951</v>
      </c>
      <c r="C567" s="72" t="s">
        <v>32</v>
      </c>
      <c r="D567" s="72" t="s">
        <v>985</v>
      </c>
      <c r="E567" s="72" t="s">
        <v>984</v>
      </c>
      <c r="F567" s="72" t="s">
        <v>552</v>
      </c>
      <c r="G567" s="73">
        <v>504</v>
      </c>
      <c r="H567" s="74">
        <v>4.8</v>
      </c>
      <c r="I567" s="83">
        <f t="shared" si="21"/>
        <v>2419.1999999999998</v>
      </c>
      <c r="J567" s="71">
        <v>42506</v>
      </c>
      <c r="K567" s="71">
        <v>42522</v>
      </c>
      <c r="L567" s="99" t="s">
        <v>130</v>
      </c>
      <c r="M567" s="78"/>
    </row>
    <row r="568" spans="1:13" s="79" customFormat="1" ht="17.25" customHeight="1">
      <c r="A568" s="71">
        <v>42423</v>
      </c>
      <c r="B568" s="72" t="s">
        <v>951</v>
      </c>
      <c r="C568" s="72" t="s">
        <v>32</v>
      </c>
      <c r="D568" s="72" t="s">
        <v>986</v>
      </c>
      <c r="E568" s="72" t="s">
        <v>984</v>
      </c>
      <c r="F568" s="72" t="s">
        <v>552</v>
      </c>
      <c r="G568" s="73">
        <v>24</v>
      </c>
      <c r="H568" s="74">
        <v>4.8</v>
      </c>
      <c r="I568" s="83">
        <f t="shared" si="21"/>
        <v>115.19999999999999</v>
      </c>
      <c r="J568" s="71">
        <v>42506</v>
      </c>
      <c r="K568" s="71">
        <v>42522</v>
      </c>
      <c r="L568" s="99" t="s">
        <v>130</v>
      </c>
      <c r="M568" s="78"/>
    </row>
    <row r="569" spans="1:13" s="79" customFormat="1" ht="17.25" customHeight="1">
      <c r="A569" s="71">
        <v>42388</v>
      </c>
      <c r="B569" s="72" t="s">
        <v>951</v>
      </c>
      <c r="C569" s="72" t="s">
        <v>26</v>
      </c>
      <c r="D569" s="100" t="s">
        <v>987</v>
      </c>
      <c r="E569" s="72" t="s">
        <v>988</v>
      </c>
      <c r="F569" s="72" t="s">
        <v>274</v>
      </c>
      <c r="G569" s="90">
        <v>3600</v>
      </c>
      <c r="H569" s="74">
        <v>4.75</v>
      </c>
      <c r="I569" s="83">
        <f t="shared" si="21"/>
        <v>17100</v>
      </c>
      <c r="J569" s="72" t="s">
        <v>232</v>
      </c>
      <c r="K569" s="71">
        <v>42508</v>
      </c>
      <c r="L569" s="99" t="s">
        <v>130</v>
      </c>
      <c r="M569" s="78"/>
    </row>
    <row r="570" spans="1:13" s="79" customFormat="1" ht="17.25" customHeight="1">
      <c r="A570" s="71">
        <v>42406</v>
      </c>
      <c r="B570" s="72" t="s">
        <v>989</v>
      </c>
      <c r="C570" s="72" t="s">
        <v>25</v>
      </c>
      <c r="D570" s="72" t="s">
        <v>990</v>
      </c>
      <c r="E570" s="72" t="s">
        <v>991</v>
      </c>
      <c r="F570" s="72" t="s">
        <v>322</v>
      </c>
      <c r="G570" s="73">
        <v>2004</v>
      </c>
      <c r="H570" s="74">
        <v>7.05</v>
      </c>
      <c r="I570" s="75">
        <f t="shared" ref="I570:I615" si="22">G570*H570</f>
        <v>14128.199999999999</v>
      </c>
      <c r="J570" s="72" t="s">
        <v>165</v>
      </c>
      <c r="K570" s="71">
        <v>42529</v>
      </c>
      <c r="L570" s="99" t="s">
        <v>130</v>
      </c>
      <c r="M570" s="78"/>
    </row>
    <row r="571" spans="1:13" s="79" customFormat="1" ht="17.25" customHeight="1">
      <c r="A571" s="71">
        <v>42406</v>
      </c>
      <c r="B571" s="72" t="s">
        <v>989</v>
      </c>
      <c r="C571" s="72" t="s">
        <v>25</v>
      </c>
      <c r="D571" s="72" t="s">
        <v>992</v>
      </c>
      <c r="E571" s="72" t="s">
        <v>991</v>
      </c>
      <c r="F571" s="72" t="s">
        <v>322</v>
      </c>
      <c r="G571" s="73">
        <v>2202</v>
      </c>
      <c r="H571" s="74">
        <v>7.05</v>
      </c>
      <c r="I571" s="75">
        <f t="shared" si="22"/>
        <v>15524.1</v>
      </c>
      <c r="J571" s="72" t="s">
        <v>165</v>
      </c>
      <c r="K571" s="71">
        <v>42529</v>
      </c>
      <c r="L571" s="99" t="s">
        <v>130</v>
      </c>
      <c r="M571" s="78"/>
    </row>
    <row r="572" spans="1:13" s="79" customFormat="1" ht="17.25" customHeight="1">
      <c r="A572" s="71">
        <v>42426</v>
      </c>
      <c r="B572" s="81" t="s">
        <v>989</v>
      </c>
      <c r="C572" s="82" t="s">
        <v>125</v>
      </c>
      <c r="D572" s="72" t="s">
        <v>993</v>
      </c>
      <c r="E572" s="72" t="s">
        <v>994</v>
      </c>
      <c r="F572" s="72" t="s">
        <v>149</v>
      </c>
      <c r="G572" s="86">
        <v>6596</v>
      </c>
      <c r="H572" s="74">
        <v>4.5</v>
      </c>
      <c r="I572" s="83">
        <f t="shared" si="22"/>
        <v>29682</v>
      </c>
      <c r="J572" s="72" t="s">
        <v>598</v>
      </c>
      <c r="K572" s="71">
        <v>42529</v>
      </c>
      <c r="L572" s="99" t="s">
        <v>130</v>
      </c>
      <c r="M572" s="78"/>
    </row>
    <row r="573" spans="1:13" s="79" customFormat="1" ht="17.25" customHeight="1">
      <c r="A573" s="71">
        <v>42426</v>
      </c>
      <c r="B573" s="81" t="s">
        <v>989</v>
      </c>
      <c r="C573" s="82" t="s">
        <v>125</v>
      </c>
      <c r="D573" s="72" t="s">
        <v>993</v>
      </c>
      <c r="E573" s="72" t="s">
        <v>995</v>
      </c>
      <c r="F573" s="72" t="s">
        <v>149</v>
      </c>
      <c r="G573" s="86">
        <v>4516</v>
      </c>
      <c r="H573" s="74">
        <v>5.05</v>
      </c>
      <c r="I573" s="83">
        <f t="shared" si="22"/>
        <v>22805.8</v>
      </c>
      <c r="J573" s="72" t="s">
        <v>598</v>
      </c>
      <c r="K573" s="71">
        <v>42529</v>
      </c>
      <c r="L573" s="99" t="s">
        <v>130</v>
      </c>
      <c r="M573" s="78"/>
    </row>
    <row r="574" spans="1:13" s="79" customFormat="1" ht="17.25" customHeight="1">
      <c r="A574" s="71">
        <v>42426</v>
      </c>
      <c r="B574" s="81" t="s">
        <v>989</v>
      </c>
      <c r="C574" s="82" t="s">
        <v>125</v>
      </c>
      <c r="D574" s="72" t="s">
        <v>996</v>
      </c>
      <c r="E574" s="72" t="s">
        <v>994</v>
      </c>
      <c r="F574" s="72" t="s">
        <v>149</v>
      </c>
      <c r="G574" s="86">
        <v>144</v>
      </c>
      <c r="H574" s="74">
        <v>4.5</v>
      </c>
      <c r="I574" s="83">
        <f t="shared" si="22"/>
        <v>648</v>
      </c>
      <c r="J574" s="72" t="s">
        <v>598</v>
      </c>
      <c r="K574" s="71">
        <v>42529</v>
      </c>
      <c r="L574" s="99" t="s">
        <v>130</v>
      </c>
      <c r="M574" s="78"/>
    </row>
    <row r="575" spans="1:13" s="79" customFormat="1" ht="17.25" customHeight="1">
      <c r="A575" s="71">
        <v>42426</v>
      </c>
      <c r="B575" s="81" t="s">
        <v>989</v>
      </c>
      <c r="C575" s="82" t="s">
        <v>125</v>
      </c>
      <c r="D575" s="72" t="s">
        <v>996</v>
      </c>
      <c r="E575" s="72" t="s">
        <v>995</v>
      </c>
      <c r="F575" s="72" t="s">
        <v>149</v>
      </c>
      <c r="G575" s="86">
        <v>96</v>
      </c>
      <c r="H575" s="74">
        <v>5.05</v>
      </c>
      <c r="I575" s="83">
        <f t="shared" si="22"/>
        <v>484.79999999999995</v>
      </c>
      <c r="J575" s="72" t="s">
        <v>598</v>
      </c>
      <c r="K575" s="71">
        <v>42529</v>
      </c>
      <c r="L575" s="99" t="s">
        <v>130</v>
      </c>
      <c r="M575" s="78"/>
    </row>
    <row r="576" spans="1:13" s="79" customFormat="1" ht="17.25" customHeight="1">
      <c r="A576" s="71">
        <v>42293</v>
      </c>
      <c r="B576" s="72" t="s">
        <v>989</v>
      </c>
      <c r="C576" s="72" t="s">
        <v>30</v>
      </c>
      <c r="D576" s="72" t="s">
        <v>997</v>
      </c>
      <c r="E576" s="72" t="s">
        <v>998</v>
      </c>
      <c r="F576" s="98" t="s">
        <v>128</v>
      </c>
      <c r="G576" s="73">
        <v>16776</v>
      </c>
      <c r="H576" s="74">
        <v>3.7</v>
      </c>
      <c r="I576" s="75">
        <f t="shared" si="22"/>
        <v>62071.200000000004</v>
      </c>
      <c r="J576" s="72" t="s">
        <v>174</v>
      </c>
      <c r="K576" s="71">
        <v>42467</v>
      </c>
      <c r="L576" s="99" t="s">
        <v>353</v>
      </c>
      <c r="M576" s="78"/>
    </row>
    <row r="577" spans="1:13" s="79" customFormat="1" ht="17.25" customHeight="1">
      <c r="A577" s="71">
        <v>42293</v>
      </c>
      <c r="B577" s="72" t="s">
        <v>989</v>
      </c>
      <c r="C577" s="72" t="s">
        <v>30</v>
      </c>
      <c r="D577" s="72" t="s">
        <v>999</v>
      </c>
      <c r="E577" s="72" t="s">
        <v>998</v>
      </c>
      <c r="F577" s="98" t="s">
        <v>128</v>
      </c>
      <c r="G577" s="73">
        <v>503</v>
      </c>
      <c r="H577" s="74">
        <v>3.55</v>
      </c>
      <c r="I577" s="75">
        <f t="shared" si="22"/>
        <v>1785.6499999999999</v>
      </c>
      <c r="J577" s="72" t="s">
        <v>174</v>
      </c>
      <c r="K577" s="71">
        <v>42467</v>
      </c>
      <c r="L577" s="99" t="s">
        <v>353</v>
      </c>
      <c r="M577" s="78"/>
    </row>
    <row r="578" spans="1:13" s="79" customFormat="1" ht="17.25" customHeight="1">
      <c r="A578" s="71">
        <v>42293</v>
      </c>
      <c r="B578" s="72" t="s">
        <v>989</v>
      </c>
      <c r="C578" s="72" t="s">
        <v>30</v>
      </c>
      <c r="D578" s="72" t="s">
        <v>1000</v>
      </c>
      <c r="E578" s="72" t="s">
        <v>998</v>
      </c>
      <c r="F578" s="98" t="s">
        <v>128</v>
      </c>
      <c r="G578" s="73">
        <v>48</v>
      </c>
      <c r="H578" s="74">
        <v>3.7</v>
      </c>
      <c r="I578" s="75">
        <f t="shared" si="22"/>
        <v>177.60000000000002</v>
      </c>
      <c r="J578" s="72" t="s">
        <v>174</v>
      </c>
      <c r="K578" s="71">
        <v>42467</v>
      </c>
      <c r="L578" s="99" t="s">
        <v>353</v>
      </c>
      <c r="M578" s="78"/>
    </row>
    <row r="579" spans="1:13" s="79" customFormat="1" ht="17.25" customHeight="1">
      <c r="A579" s="71">
        <v>42293</v>
      </c>
      <c r="B579" s="72" t="s">
        <v>989</v>
      </c>
      <c r="C579" s="72" t="s">
        <v>30</v>
      </c>
      <c r="D579" s="72" t="s">
        <v>1001</v>
      </c>
      <c r="E579" s="72" t="s">
        <v>998</v>
      </c>
      <c r="F579" s="98" t="s">
        <v>128</v>
      </c>
      <c r="G579" s="73">
        <v>5000</v>
      </c>
      <c r="H579" s="74">
        <v>3.7</v>
      </c>
      <c r="I579" s="75">
        <f t="shared" si="22"/>
        <v>18500</v>
      </c>
      <c r="J579" s="72" t="s">
        <v>174</v>
      </c>
      <c r="K579" s="71">
        <v>42467</v>
      </c>
      <c r="L579" s="99" t="s">
        <v>353</v>
      </c>
      <c r="M579" s="78"/>
    </row>
    <row r="580" spans="1:13" s="79" customFormat="1" ht="17.25" customHeight="1">
      <c r="A580" s="71">
        <v>42398</v>
      </c>
      <c r="B580" s="72" t="s">
        <v>989</v>
      </c>
      <c r="C580" s="72" t="s">
        <v>33</v>
      </c>
      <c r="D580" s="72" t="s">
        <v>1002</v>
      </c>
      <c r="E580" s="72" t="s">
        <v>1003</v>
      </c>
      <c r="F580" s="98" t="s">
        <v>786</v>
      </c>
      <c r="G580" s="73">
        <v>1274</v>
      </c>
      <c r="H580" s="74">
        <v>7.45</v>
      </c>
      <c r="I580" s="75">
        <f t="shared" si="22"/>
        <v>9491.3000000000011</v>
      </c>
      <c r="J580" s="71">
        <v>42506</v>
      </c>
      <c r="K580" s="71">
        <v>42529</v>
      </c>
      <c r="L580" s="99" t="s">
        <v>130</v>
      </c>
      <c r="M580" s="78"/>
    </row>
    <row r="581" spans="1:13" s="79" customFormat="1" ht="17.25" customHeight="1">
      <c r="A581" s="71">
        <v>42398</v>
      </c>
      <c r="B581" s="72" t="s">
        <v>989</v>
      </c>
      <c r="C581" s="72" t="s">
        <v>33</v>
      </c>
      <c r="D581" s="72" t="s">
        <v>1004</v>
      </c>
      <c r="E581" s="72" t="s">
        <v>1003</v>
      </c>
      <c r="F581" s="98" t="s">
        <v>786</v>
      </c>
      <c r="G581" s="73">
        <v>468</v>
      </c>
      <c r="H581" s="74">
        <v>7.45</v>
      </c>
      <c r="I581" s="75">
        <f t="shared" si="22"/>
        <v>3486.6</v>
      </c>
      <c r="J581" s="71">
        <v>42506</v>
      </c>
      <c r="K581" s="71">
        <v>42529</v>
      </c>
      <c r="L581" s="99" t="s">
        <v>130</v>
      </c>
      <c r="M581" s="78"/>
    </row>
    <row r="582" spans="1:13" s="79" customFormat="1" ht="17.25" customHeight="1">
      <c r="A582" s="71">
        <v>42387</v>
      </c>
      <c r="B582" s="72" t="s">
        <v>989</v>
      </c>
      <c r="C582" s="72" t="s">
        <v>26</v>
      </c>
      <c r="D582" s="100" t="s">
        <v>1005</v>
      </c>
      <c r="E582" s="72" t="s">
        <v>1006</v>
      </c>
      <c r="F582" s="72" t="s">
        <v>274</v>
      </c>
      <c r="G582" s="90">
        <v>5400</v>
      </c>
      <c r="H582" s="74">
        <v>5.45</v>
      </c>
      <c r="I582" s="83">
        <f t="shared" si="22"/>
        <v>29430</v>
      </c>
      <c r="J582" s="72" t="s">
        <v>136</v>
      </c>
      <c r="K582" s="71">
        <v>42501</v>
      </c>
      <c r="L582" s="99" t="s">
        <v>130</v>
      </c>
      <c r="M582" s="78"/>
    </row>
    <row r="583" spans="1:13" s="79" customFormat="1" ht="17.25" customHeight="1">
      <c r="A583" s="71">
        <v>42398</v>
      </c>
      <c r="B583" s="72" t="s">
        <v>989</v>
      </c>
      <c r="C583" s="72" t="s">
        <v>31</v>
      </c>
      <c r="D583" s="100" t="s">
        <v>1007</v>
      </c>
      <c r="E583" s="72" t="s">
        <v>1008</v>
      </c>
      <c r="F583" s="72" t="s">
        <v>154</v>
      </c>
      <c r="G583" s="90">
        <v>64</v>
      </c>
      <c r="H583" s="74">
        <v>3.85</v>
      </c>
      <c r="I583" s="83">
        <f t="shared" si="22"/>
        <v>246.4</v>
      </c>
      <c r="J583" s="72" t="s">
        <v>124</v>
      </c>
      <c r="K583" s="71">
        <v>42515</v>
      </c>
      <c r="L583" s="99" t="s">
        <v>130</v>
      </c>
      <c r="M583" s="78"/>
    </row>
    <row r="584" spans="1:13" s="79" customFormat="1" ht="17.25" customHeight="1">
      <c r="A584" s="71">
        <v>42402</v>
      </c>
      <c r="B584" s="72" t="s">
        <v>989</v>
      </c>
      <c r="C584" s="72" t="s">
        <v>31</v>
      </c>
      <c r="D584" s="100" t="s">
        <v>1009</v>
      </c>
      <c r="E584" s="72" t="s">
        <v>1008</v>
      </c>
      <c r="F584" s="72" t="s">
        <v>154</v>
      </c>
      <c r="G584" s="90">
        <v>336</v>
      </c>
      <c r="H584" s="74">
        <v>3.85</v>
      </c>
      <c r="I584" s="83">
        <f t="shared" si="22"/>
        <v>1293.6000000000001</v>
      </c>
      <c r="J584" s="72" t="s">
        <v>261</v>
      </c>
      <c r="K584" s="71">
        <v>42536</v>
      </c>
      <c r="L584" s="99" t="s">
        <v>130</v>
      </c>
      <c r="M584" s="78"/>
    </row>
    <row r="585" spans="1:13" s="79" customFormat="1" ht="17.25" customHeight="1">
      <c r="A585" s="71">
        <v>42402</v>
      </c>
      <c r="B585" s="72" t="s">
        <v>989</v>
      </c>
      <c r="C585" s="72" t="s">
        <v>31</v>
      </c>
      <c r="D585" s="100" t="s">
        <v>1010</v>
      </c>
      <c r="E585" s="72" t="s">
        <v>1008</v>
      </c>
      <c r="F585" s="72" t="s">
        <v>154</v>
      </c>
      <c r="G585" s="90">
        <v>48976</v>
      </c>
      <c r="H585" s="74">
        <v>3.85</v>
      </c>
      <c r="I585" s="83">
        <f t="shared" si="22"/>
        <v>188557.6</v>
      </c>
      <c r="J585" s="72" t="s">
        <v>261</v>
      </c>
      <c r="K585" s="71">
        <v>42536</v>
      </c>
      <c r="L585" s="99" t="s">
        <v>130</v>
      </c>
      <c r="M585" s="78"/>
    </row>
    <row r="586" spans="1:13" s="79" customFormat="1" ht="17.25" customHeight="1">
      <c r="A586" s="71">
        <v>42406</v>
      </c>
      <c r="B586" s="72" t="s">
        <v>989</v>
      </c>
      <c r="C586" s="72" t="s">
        <v>26</v>
      </c>
      <c r="D586" s="100" t="s">
        <v>1011</v>
      </c>
      <c r="E586" s="72" t="s">
        <v>1012</v>
      </c>
      <c r="F586" s="72" t="s">
        <v>446</v>
      </c>
      <c r="G586" s="90">
        <v>5232</v>
      </c>
      <c r="H586" s="74">
        <v>5.7</v>
      </c>
      <c r="I586" s="83">
        <f t="shared" si="22"/>
        <v>29822.400000000001</v>
      </c>
      <c r="J586" s="72" t="s">
        <v>232</v>
      </c>
      <c r="K586" s="71">
        <v>42508</v>
      </c>
      <c r="L586" s="99" t="s">
        <v>130</v>
      </c>
      <c r="M586" s="78"/>
    </row>
    <row r="587" spans="1:13" s="79" customFormat="1" ht="17.25" customHeight="1">
      <c r="A587" s="71">
        <v>42415</v>
      </c>
      <c r="B587" s="72" t="s">
        <v>989</v>
      </c>
      <c r="C587" s="72" t="s">
        <v>26</v>
      </c>
      <c r="D587" s="100" t="s">
        <v>1013</v>
      </c>
      <c r="E587" s="72" t="s">
        <v>1014</v>
      </c>
      <c r="F587" s="72" t="s">
        <v>806</v>
      </c>
      <c r="G587" s="90">
        <v>5152</v>
      </c>
      <c r="H587" s="74">
        <v>5.7</v>
      </c>
      <c r="I587" s="83">
        <f t="shared" si="22"/>
        <v>29366.400000000001</v>
      </c>
      <c r="J587" s="72" t="s">
        <v>286</v>
      </c>
      <c r="K587" s="71">
        <v>42522</v>
      </c>
      <c r="L587" s="99" t="s">
        <v>130</v>
      </c>
      <c r="M587" s="78"/>
    </row>
    <row r="588" spans="1:13" s="79" customFormat="1" ht="17.25" customHeight="1">
      <c r="A588" s="71">
        <v>42418</v>
      </c>
      <c r="B588" s="72" t="s">
        <v>989</v>
      </c>
      <c r="C588" s="72" t="s">
        <v>26</v>
      </c>
      <c r="D588" s="100" t="s">
        <v>1015</v>
      </c>
      <c r="E588" s="72" t="s">
        <v>1016</v>
      </c>
      <c r="F588" s="72" t="s">
        <v>806</v>
      </c>
      <c r="G588" s="90">
        <v>4788</v>
      </c>
      <c r="H588" s="74">
        <v>6.2</v>
      </c>
      <c r="I588" s="83">
        <f t="shared" si="22"/>
        <v>29685.600000000002</v>
      </c>
      <c r="J588" s="72" t="s">
        <v>286</v>
      </c>
      <c r="K588" s="71">
        <v>42522</v>
      </c>
      <c r="L588" s="99" t="s">
        <v>130</v>
      </c>
      <c r="M588" s="78"/>
    </row>
    <row r="589" spans="1:13" s="79" customFormat="1" ht="17.25" customHeight="1">
      <c r="A589" s="71">
        <v>42340</v>
      </c>
      <c r="B589" s="72" t="s">
        <v>989</v>
      </c>
      <c r="C589" s="72" t="s">
        <v>466</v>
      </c>
      <c r="D589" s="72" t="s">
        <v>1017</v>
      </c>
      <c r="E589" s="72" t="s">
        <v>1018</v>
      </c>
      <c r="F589" s="72" t="s">
        <v>1019</v>
      </c>
      <c r="G589" s="73">
        <v>252</v>
      </c>
      <c r="H589" s="74">
        <v>5.25</v>
      </c>
      <c r="I589" s="83">
        <f t="shared" si="22"/>
        <v>1323</v>
      </c>
      <c r="J589" s="72" t="s">
        <v>794</v>
      </c>
      <c r="K589" s="71">
        <v>42472</v>
      </c>
      <c r="L589" s="99" t="s">
        <v>130</v>
      </c>
      <c r="M589" s="78"/>
    </row>
    <row r="590" spans="1:13" s="79" customFormat="1" ht="17.25" customHeight="1">
      <c r="A590" s="71">
        <v>42340</v>
      </c>
      <c r="B590" s="72" t="s">
        <v>989</v>
      </c>
      <c r="C590" s="72" t="s">
        <v>466</v>
      </c>
      <c r="D590" s="72" t="s">
        <v>1020</v>
      </c>
      <c r="E590" s="72" t="s">
        <v>1018</v>
      </c>
      <c r="F590" s="72" t="s">
        <v>1021</v>
      </c>
      <c r="G590" s="73">
        <v>1516</v>
      </c>
      <c r="H590" s="74">
        <v>5.25</v>
      </c>
      <c r="I590" s="83">
        <f t="shared" si="22"/>
        <v>7959</v>
      </c>
      <c r="J590" s="72" t="s">
        <v>794</v>
      </c>
      <c r="K590" s="71">
        <v>42472</v>
      </c>
      <c r="L590" s="99" t="s">
        <v>130</v>
      </c>
      <c r="M590" s="78"/>
    </row>
    <row r="591" spans="1:13" s="79" customFormat="1" ht="17.25" customHeight="1">
      <c r="A591" s="71">
        <v>42340</v>
      </c>
      <c r="B591" s="72" t="s">
        <v>989</v>
      </c>
      <c r="C591" s="72" t="s">
        <v>466</v>
      </c>
      <c r="D591" s="72" t="s">
        <v>1020</v>
      </c>
      <c r="E591" s="72" t="s">
        <v>1018</v>
      </c>
      <c r="F591" s="72" t="s">
        <v>1022</v>
      </c>
      <c r="G591" s="73">
        <v>36</v>
      </c>
      <c r="H591" s="74">
        <v>5.25</v>
      </c>
      <c r="I591" s="83">
        <f t="shared" si="22"/>
        <v>189</v>
      </c>
      <c r="J591" s="72" t="s">
        <v>794</v>
      </c>
      <c r="K591" s="71">
        <v>42472</v>
      </c>
      <c r="L591" s="99" t="s">
        <v>130</v>
      </c>
      <c r="M591" s="78"/>
    </row>
    <row r="592" spans="1:13" s="79" customFormat="1" ht="17.25" customHeight="1">
      <c r="A592" s="71">
        <v>42340</v>
      </c>
      <c r="B592" s="72" t="s">
        <v>989</v>
      </c>
      <c r="C592" s="72" t="s">
        <v>466</v>
      </c>
      <c r="D592" s="72" t="s">
        <v>1023</v>
      </c>
      <c r="E592" s="72" t="s">
        <v>1024</v>
      </c>
      <c r="F592" s="72" t="s">
        <v>322</v>
      </c>
      <c r="G592" s="73">
        <v>1800</v>
      </c>
      <c r="H592" s="74">
        <v>5.2</v>
      </c>
      <c r="I592" s="83">
        <f t="shared" si="22"/>
        <v>9360</v>
      </c>
      <c r="J592" s="72" t="s">
        <v>794</v>
      </c>
      <c r="K592" s="71">
        <v>42472</v>
      </c>
      <c r="L592" s="99" t="s">
        <v>130</v>
      </c>
      <c r="M592" s="78"/>
    </row>
    <row r="593" spans="1:13" s="79" customFormat="1" ht="17.25" customHeight="1">
      <c r="A593" s="71">
        <v>42353</v>
      </c>
      <c r="B593" s="72" t="s">
        <v>989</v>
      </c>
      <c r="C593" s="72" t="s">
        <v>466</v>
      </c>
      <c r="D593" s="72" t="s">
        <v>1020</v>
      </c>
      <c r="E593" s="72" t="s">
        <v>1018</v>
      </c>
      <c r="F593" s="72" t="s">
        <v>1021</v>
      </c>
      <c r="G593" s="73">
        <v>1516</v>
      </c>
      <c r="H593" s="74">
        <v>5.25</v>
      </c>
      <c r="I593" s="83">
        <f t="shared" si="22"/>
        <v>7959</v>
      </c>
      <c r="J593" s="72" t="s">
        <v>794</v>
      </c>
      <c r="K593" s="71">
        <v>42472</v>
      </c>
      <c r="L593" s="99" t="s">
        <v>130</v>
      </c>
      <c r="M593" s="78"/>
    </row>
    <row r="594" spans="1:13" s="79" customFormat="1" ht="17.25" customHeight="1">
      <c r="A594" s="71">
        <v>42353</v>
      </c>
      <c r="B594" s="72" t="s">
        <v>989</v>
      </c>
      <c r="C594" s="72" t="s">
        <v>466</v>
      </c>
      <c r="D594" s="72" t="s">
        <v>1020</v>
      </c>
      <c r="E594" s="72" t="s">
        <v>1018</v>
      </c>
      <c r="F594" s="72" t="s">
        <v>1021</v>
      </c>
      <c r="G594" s="73">
        <v>36</v>
      </c>
      <c r="H594" s="74">
        <v>5.25</v>
      </c>
      <c r="I594" s="83">
        <f t="shared" si="22"/>
        <v>189</v>
      </c>
      <c r="J594" s="72" t="s">
        <v>794</v>
      </c>
      <c r="K594" s="71">
        <v>42472</v>
      </c>
      <c r="L594" s="99" t="s">
        <v>130</v>
      </c>
      <c r="M594" s="78"/>
    </row>
    <row r="595" spans="1:13" s="79" customFormat="1" ht="17.25" customHeight="1">
      <c r="A595" s="71">
        <v>42353</v>
      </c>
      <c r="B595" s="72" t="s">
        <v>989</v>
      </c>
      <c r="C595" s="72" t="s">
        <v>466</v>
      </c>
      <c r="D595" s="72" t="s">
        <v>1017</v>
      </c>
      <c r="E595" s="72" t="s">
        <v>1018</v>
      </c>
      <c r="F595" s="72" t="s">
        <v>1019</v>
      </c>
      <c r="G595" s="73">
        <v>252</v>
      </c>
      <c r="H595" s="74">
        <v>5.25</v>
      </c>
      <c r="I595" s="83">
        <f t="shared" si="22"/>
        <v>1323</v>
      </c>
      <c r="J595" s="72" t="s">
        <v>794</v>
      </c>
      <c r="K595" s="71">
        <v>42472</v>
      </c>
      <c r="L595" s="99" t="s">
        <v>130</v>
      </c>
      <c r="M595" s="78"/>
    </row>
    <row r="596" spans="1:13" s="79" customFormat="1" ht="17.25" customHeight="1">
      <c r="A596" s="71">
        <v>42353</v>
      </c>
      <c r="B596" s="72" t="s">
        <v>989</v>
      </c>
      <c r="C596" s="72" t="s">
        <v>466</v>
      </c>
      <c r="D596" s="72" t="s">
        <v>1023</v>
      </c>
      <c r="E596" s="72" t="s">
        <v>1018</v>
      </c>
      <c r="F596" s="72" t="s">
        <v>322</v>
      </c>
      <c r="G596" s="73">
        <v>1800</v>
      </c>
      <c r="H596" s="74">
        <v>5.2</v>
      </c>
      <c r="I596" s="83">
        <f t="shared" si="22"/>
        <v>9360</v>
      </c>
      <c r="J596" s="72" t="s">
        <v>794</v>
      </c>
      <c r="K596" s="71">
        <v>42472</v>
      </c>
      <c r="L596" s="99" t="s">
        <v>130</v>
      </c>
      <c r="M596" s="78"/>
    </row>
    <row r="597" spans="1:13" s="79" customFormat="1" ht="17.25" customHeight="1">
      <c r="A597" s="71">
        <v>42368</v>
      </c>
      <c r="B597" s="72" t="s">
        <v>989</v>
      </c>
      <c r="C597" s="72" t="s">
        <v>466</v>
      </c>
      <c r="D597" s="72" t="s">
        <v>1025</v>
      </c>
      <c r="E597" s="72" t="s">
        <v>1026</v>
      </c>
      <c r="F597" s="72" t="s">
        <v>227</v>
      </c>
      <c r="G597" s="73">
        <v>6218</v>
      </c>
      <c r="H597" s="74">
        <v>4.7</v>
      </c>
      <c r="I597" s="83">
        <f t="shared" si="22"/>
        <v>29224.600000000002</v>
      </c>
      <c r="J597" s="72" t="s">
        <v>328</v>
      </c>
      <c r="K597" s="71">
        <v>42480</v>
      </c>
      <c r="L597" s="99" t="s">
        <v>130</v>
      </c>
      <c r="M597" s="78"/>
    </row>
    <row r="598" spans="1:13" s="79" customFormat="1" ht="17.25" customHeight="1">
      <c r="A598" s="71">
        <v>42368</v>
      </c>
      <c r="B598" s="72" t="s">
        <v>989</v>
      </c>
      <c r="C598" s="72" t="s">
        <v>466</v>
      </c>
      <c r="D598" s="72" t="s">
        <v>1027</v>
      </c>
      <c r="E598" s="72" t="s">
        <v>1028</v>
      </c>
      <c r="F598" s="72" t="s">
        <v>227</v>
      </c>
      <c r="G598" s="73">
        <v>6228</v>
      </c>
      <c r="H598" s="74">
        <v>4.7</v>
      </c>
      <c r="I598" s="83">
        <f t="shared" si="22"/>
        <v>29271.600000000002</v>
      </c>
      <c r="J598" s="72" t="s">
        <v>328</v>
      </c>
      <c r="K598" s="71">
        <v>42480</v>
      </c>
      <c r="L598" s="99" t="s">
        <v>130</v>
      </c>
      <c r="M598" s="78"/>
    </row>
    <row r="599" spans="1:13" s="79" customFormat="1" ht="17.25" customHeight="1">
      <c r="A599" s="71">
        <v>42368</v>
      </c>
      <c r="B599" s="72" t="s">
        <v>989</v>
      </c>
      <c r="C599" s="72" t="s">
        <v>466</v>
      </c>
      <c r="D599" s="72" t="s">
        <v>1029</v>
      </c>
      <c r="E599" s="72" t="s">
        <v>1030</v>
      </c>
      <c r="F599" s="72" t="s">
        <v>227</v>
      </c>
      <c r="G599" s="86">
        <v>4872</v>
      </c>
      <c r="H599" s="74">
        <v>4.8899999999999997</v>
      </c>
      <c r="I599" s="83">
        <f t="shared" si="22"/>
        <v>23824.079999999998</v>
      </c>
      <c r="J599" s="72" t="s">
        <v>328</v>
      </c>
      <c r="K599" s="71">
        <v>42480</v>
      </c>
      <c r="L599" s="99" t="s">
        <v>130</v>
      </c>
      <c r="M599" s="78"/>
    </row>
    <row r="600" spans="1:13" s="79" customFormat="1" ht="17.25" customHeight="1">
      <c r="A600" s="71">
        <v>42368</v>
      </c>
      <c r="B600" s="72" t="s">
        <v>989</v>
      </c>
      <c r="C600" s="72" t="s">
        <v>466</v>
      </c>
      <c r="D600" s="72" t="s">
        <v>1031</v>
      </c>
      <c r="E600" s="72" t="s">
        <v>1030</v>
      </c>
      <c r="F600" s="72" t="s">
        <v>227</v>
      </c>
      <c r="G600" s="86">
        <v>4876</v>
      </c>
      <c r="H600" s="74">
        <v>4.8899999999999997</v>
      </c>
      <c r="I600" s="83">
        <f t="shared" si="22"/>
        <v>23843.64</v>
      </c>
      <c r="J600" s="72" t="s">
        <v>328</v>
      </c>
      <c r="K600" s="71">
        <v>42480</v>
      </c>
      <c r="L600" s="99" t="s">
        <v>130</v>
      </c>
      <c r="M600" s="78"/>
    </row>
    <row r="601" spans="1:13" s="79" customFormat="1" ht="17.25" customHeight="1">
      <c r="A601" s="71">
        <v>42368</v>
      </c>
      <c r="B601" s="72" t="s">
        <v>989</v>
      </c>
      <c r="C601" s="72" t="s">
        <v>466</v>
      </c>
      <c r="D601" s="72" t="s">
        <v>1032</v>
      </c>
      <c r="E601" s="72" t="s">
        <v>1033</v>
      </c>
      <c r="F601" s="72" t="s">
        <v>227</v>
      </c>
      <c r="G601" s="73">
        <v>5146</v>
      </c>
      <c r="H601" s="74">
        <v>4.8899999999999997</v>
      </c>
      <c r="I601" s="83">
        <f t="shared" si="22"/>
        <v>25163.94</v>
      </c>
      <c r="J601" s="72" t="s">
        <v>328</v>
      </c>
      <c r="K601" s="71">
        <v>42480</v>
      </c>
      <c r="L601" s="99" t="s">
        <v>130</v>
      </c>
      <c r="M601" s="78"/>
    </row>
    <row r="602" spans="1:13" s="79" customFormat="1" ht="17.25" customHeight="1">
      <c r="A602" s="71">
        <v>42368</v>
      </c>
      <c r="B602" s="72" t="s">
        <v>989</v>
      </c>
      <c r="C602" s="72" t="s">
        <v>466</v>
      </c>
      <c r="D602" s="72" t="s">
        <v>1034</v>
      </c>
      <c r="E602" s="72" t="s">
        <v>1035</v>
      </c>
      <c r="F602" s="72" t="s">
        <v>227</v>
      </c>
      <c r="G602" s="73">
        <v>5196</v>
      </c>
      <c r="H602" s="74">
        <v>4.8899999999999997</v>
      </c>
      <c r="I602" s="83">
        <f t="shared" si="22"/>
        <v>25408.44</v>
      </c>
      <c r="J602" s="72" t="s">
        <v>328</v>
      </c>
      <c r="K602" s="71">
        <v>42480</v>
      </c>
      <c r="L602" s="99" t="s">
        <v>130</v>
      </c>
      <c r="M602" s="78"/>
    </row>
    <row r="603" spans="1:13" s="79" customFormat="1" ht="17.25" customHeight="1">
      <c r="A603" s="71">
        <v>42375</v>
      </c>
      <c r="B603" s="72" t="s">
        <v>989</v>
      </c>
      <c r="C603" s="72" t="s">
        <v>466</v>
      </c>
      <c r="D603" s="72" t="s">
        <v>1036</v>
      </c>
      <c r="E603" s="72" t="s">
        <v>1018</v>
      </c>
      <c r="F603" s="72" t="s">
        <v>1037</v>
      </c>
      <c r="G603" s="73">
        <v>600</v>
      </c>
      <c r="H603" s="74">
        <v>5.25</v>
      </c>
      <c r="I603" s="83">
        <f t="shared" si="22"/>
        <v>3150</v>
      </c>
      <c r="J603" s="72" t="s">
        <v>328</v>
      </c>
      <c r="K603" s="71">
        <v>42486</v>
      </c>
      <c r="L603" s="99" t="s">
        <v>130</v>
      </c>
      <c r="M603" s="78"/>
    </row>
    <row r="604" spans="1:13" s="79" customFormat="1" ht="17.25" customHeight="1">
      <c r="A604" s="71">
        <v>42375</v>
      </c>
      <c r="B604" s="72" t="s">
        <v>989</v>
      </c>
      <c r="C604" s="72" t="s">
        <v>466</v>
      </c>
      <c r="D604" s="72" t="s">
        <v>1038</v>
      </c>
      <c r="E604" s="72" t="s">
        <v>1039</v>
      </c>
      <c r="F604" s="72" t="s">
        <v>1037</v>
      </c>
      <c r="G604" s="73">
        <v>600</v>
      </c>
      <c r="H604" s="74">
        <v>5.25</v>
      </c>
      <c r="I604" s="83">
        <f t="shared" si="22"/>
        <v>3150</v>
      </c>
      <c r="J604" s="72" t="s">
        <v>328</v>
      </c>
      <c r="K604" s="71">
        <v>42486</v>
      </c>
      <c r="L604" s="99" t="s">
        <v>130</v>
      </c>
      <c r="M604" s="78"/>
    </row>
    <row r="605" spans="1:13" s="79" customFormat="1" ht="17.25" customHeight="1">
      <c r="A605" s="71">
        <v>42382</v>
      </c>
      <c r="B605" s="72" t="s">
        <v>989</v>
      </c>
      <c r="C605" s="72" t="s">
        <v>466</v>
      </c>
      <c r="D605" s="72" t="s">
        <v>1040</v>
      </c>
      <c r="E605" s="72" t="s">
        <v>1041</v>
      </c>
      <c r="F605" s="98" t="s">
        <v>1042</v>
      </c>
      <c r="G605" s="73">
        <v>516</v>
      </c>
      <c r="H605" s="74">
        <v>5.15</v>
      </c>
      <c r="I605" s="75">
        <f t="shared" si="22"/>
        <v>2657.4</v>
      </c>
      <c r="J605" s="72" t="s">
        <v>254</v>
      </c>
      <c r="K605" s="71">
        <v>42487</v>
      </c>
      <c r="L605" s="99" t="s">
        <v>130</v>
      </c>
      <c r="M605" s="78"/>
    </row>
    <row r="606" spans="1:13" s="79" customFormat="1" ht="17.25" customHeight="1">
      <c r="A606" s="71">
        <v>42382</v>
      </c>
      <c r="B606" s="72" t="s">
        <v>989</v>
      </c>
      <c r="C606" s="72" t="s">
        <v>466</v>
      </c>
      <c r="D606" s="72">
        <v>10000020644</v>
      </c>
      <c r="E606" s="72" t="s">
        <v>1043</v>
      </c>
      <c r="F606" s="98" t="s">
        <v>1042</v>
      </c>
      <c r="G606" s="73">
        <v>516</v>
      </c>
      <c r="H606" s="74">
        <v>5.15</v>
      </c>
      <c r="I606" s="75">
        <f t="shared" si="22"/>
        <v>2657.4</v>
      </c>
      <c r="J606" s="72" t="s">
        <v>254</v>
      </c>
      <c r="K606" s="71">
        <v>42487</v>
      </c>
      <c r="L606" s="99" t="s">
        <v>130</v>
      </c>
      <c r="M606" s="78"/>
    </row>
    <row r="607" spans="1:13" s="79" customFormat="1" ht="17.25" customHeight="1">
      <c r="A607" s="71">
        <v>42382</v>
      </c>
      <c r="B607" s="72" t="s">
        <v>989</v>
      </c>
      <c r="C607" s="72" t="s">
        <v>466</v>
      </c>
      <c r="D607" s="72">
        <v>10000020645</v>
      </c>
      <c r="E607" s="72" t="s">
        <v>1044</v>
      </c>
      <c r="F607" s="98" t="s">
        <v>1042</v>
      </c>
      <c r="G607" s="73">
        <v>480</v>
      </c>
      <c r="H607" s="74">
        <v>5.25</v>
      </c>
      <c r="I607" s="75">
        <f t="shared" si="22"/>
        <v>2520</v>
      </c>
      <c r="J607" s="72" t="s">
        <v>254</v>
      </c>
      <c r="K607" s="71">
        <v>42487</v>
      </c>
      <c r="L607" s="99" t="s">
        <v>130</v>
      </c>
      <c r="M607" s="78"/>
    </row>
    <row r="608" spans="1:13" s="79" customFormat="1" ht="17.25" customHeight="1">
      <c r="A608" s="71">
        <v>42382</v>
      </c>
      <c r="B608" s="72" t="s">
        <v>989</v>
      </c>
      <c r="C608" s="72" t="s">
        <v>466</v>
      </c>
      <c r="D608" s="72" t="s">
        <v>1045</v>
      </c>
      <c r="E608" s="72" t="s">
        <v>1018</v>
      </c>
      <c r="F608" s="98" t="s">
        <v>1046</v>
      </c>
      <c r="G608" s="73">
        <v>360</v>
      </c>
      <c r="H608" s="74">
        <v>5.15</v>
      </c>
      <c r="I608" s="75">
        <f t="shared" si="22"/>
        <v>1854.0000000000002</v>
      </c>
      <c r="J608" s="72" t="s">
        <v>254</v>
      </c>
      <c r="K608" s="71">
        <v>42487</v>
      </c>
      <c r="L608" s="99" t="s">
        <v>130</v>
      </c>
      <c r="M608" s="78"/>
    </row>
    <row r="609" spans="1:13" s="79" customFormat="1" ht="17.25" customHeight="1">
      <c r="A609" s="71">
        <v>42382</v>
      </c>
      <c r="B609" s="72" t="s">
        <v>989</v>
      </c>
      <c r="C609" s="72" t="s">
        <v>466</v>
      </c>
      <c r="D609" s="72" t="s">
        <v>1047</v>
      </c>
      <c r="E609" s="72" t="s">
        <v>1039</v>
      </c>
      <c r="F609" s="98" t="s">
        <v>1046</v>
      </c>
      <c r="G609" s="73">
        <v>360</v>
      </c>
      <c r="H609" s="74">
        <v>5.15</v>
      </c>
      <c r="I609" s="75">
        <f t="shared" si="22"/>
        <v>1854.0000000000002</v>
      </c>
      <c r="J609" s="72" t="s">
        <v>254</v>
      </c>
      <c r="K609" s="71">
        <v>42487</v>
      </c>
      <c r="L609" s="99" t="s">
        <v>130</v>
      </c>
      <c r="M609" s="78"/>
    </row>
    <row r="610" spans="1:13" s="79" customFormat="1" ht="17.25" customHeight="1">
      <c r="A610" s="71">
        <v>42382</v>
      </c>
      <c r="B610" s="72" t="s">
        <v>989</v>
      </c>
      <c r="C610" s="72" t="s">
        <v>466</v>
      </c>
      <c r="D610" s="72" t="s">
        <v>1048</v>
      </c>
      <c r="E610" s="72" t="s">
        <v>1044</v>
      </c>
      <c r="F610" s="98" t="s">
        <v>1046</v>
      </c>
      <c r="G610" s="73">
        <v>360</v>
      </c>
      <c r="H610" s="74">
        <v>5.25</v>
      </c>
      <c r="I610" s="75">
        <f t="shared" si="22"/>
        <v>1890</v>
      </c>
      <c r="J610" s="72" t="s">
        <v>254</v>
      </c>
      <c r="K610" s="71">
        <v>42487</v>
      </c>
      <c r="L610" s="99" t="s">
        <v>130</v>
      </c>
      <c r="M610" s="78"/>
    </row>
    <row r="611" spans="1:13" s="79" customFormat="1" ht="17.25" customHeight="1">
      <c r="A611" s="71">
        <v>42382</v>
      </c>
      <c r="B611" s="72" t="s">
        <v>989</v>
      </c>
      <c r="C611" s="72" t="s">
        <v>466</v>
      </c>
      <c r="D611" s="72" t="s">
        <v>1049</v>
      </c>
      <c r="E611" s="72" t="s">
        <v>1050</v>
      </c>
      <c r="F611" s="98" t="s">
        <v>1046</v>
      </c>
      <c r="G611" s="73">
        <v>360</v>
      </c>
      <c r="H611" s="74">
        <v>5.25</v>
      </c>
      <c r="I611" s="75">
        <f t="shared" si="22"/>
        <v>1890</v>
      </c>
      <c r="J611" s="72" t="s">
        <v>254</v>
      </c>
      <c r="K611" s="71">
        <v>42487</v>
      </c>
      <c r="L611" s="99" t="s">
        <v>130</v>
      </c>
      <c r="M611" s="78"/>
    </row>
    <row r="612" spans="1:13" s="79" customFormat="1" ht="17.25" customHeight="1">
      <c r="A612" s="71">
        <v>42404</v>
      </c>
      <c r="B612" s="72" t="s">
        <v>989</v>
      </c>
      <c r="C612" s="72" t="s">
        <v>30</v>
      </c>
      <c r="D612" s="72" t="s">
        <v>1051</v>
      </c>
      <c r="E612" s="72" t="s">
        <v>1052</v>
      </c>
      <c r="F612" s="72"/>
      <c r="G612" s="73">
        <v>600</v>
      </c>
      <c r="H612" s="74">
        <v>6.8</v>
      </c>
      <c r="I612" s="83">
        <f t="shared" si="22"/>
        <v>4080</v>
      </c>
      <c r="J612" s="72" t="s">
        <v>136</v>
      </c>
      <c r="K612" s="71">
        <v>42501</v>
      </c>
      <c r="L612" s="99" t="s">
        <v>130</v>
      </c>
      <c r="M612" s="78"/>
    </row>
    <row r="613" spans="1:13" s="79" customFormat="1" ht="17.25" customHeight="1">
      <c r="A613" s="71">
        <v>42404</v>
      </c>
      <c r="B613" s="72" t="s">
        <v>989</v>
      </c>
      <c r="C613" s="72" t="s">
        <v>30</v>
      </c>
      <c r="D613" s="72" t="s">
        <v>1053</v>
      </c>
      <c r="E613" s="72" t="s">
        <v>1054</v>
      </c>
      <c r="F613" s="72"/>
      <c r="G613" s="73">
        <v>400</v>
      </c>
      <c r="H613" s="74">
        <v>8</v>
      </c>
      <c r="I613" s="83">
        <f t="shared" si="22"/>
        <v>3200</v>
      </c>
      <c r="J613" s="72" t="s">
        <v>136</v>
      </c>
      <c r="K613" s="71">
        <v>42501</v>
      </c>
      <c r="L613" s="99" t="s">
        <v>130</v>
      </c>
      <c r="M613" s="78"/>
    </row>
    <row r="614" spans="1:13" s="79" customFormat="1" ht="17.25" customHeight="1">
      <c r="A614" s="71">
        <v>42404</v>
      </c>
      <c r="B614" s="72" t="s">
        <v>989</v>
      </c>
      <c r="C614" s="72" t="s">
        <v>30</v>
      </c>
      <c r="D614" s="72" t="s">
        <v>1055</v>
      </c>
      <c r="E614" s="72" t="s">
        <v>1056</v>
      </c>
      <c r="F614" s="72"/>
      <c r="G614" s="73">
        <v>500</v>
      </c>
      <c r="H614" s="74">
        <v>8.8000000000000007</v>
      </c>
      <c r="I614" s="83">
        <f t="shared" si="22"/>
        <v>4400</v>
      </c>
      <c r="J614" s="72" t="s">
        <v>136</v>
      </c>
      <c r="K614" s="71">
        <v>42501</v>
      </c>
      <c r="L614" s="99" t="s">
        <v>130</v>
      </c>
      <c r="M614" s="78"/>
    </row>
    <row r="615" spans="1:13" s="79" customFormat="1" ht="17.25" customHeight="1">
      <c r="A615" s="71">
        <v>42432</v>
      </c>
      <c r="B615" s="72" t="s">
        <v>989</v>
      </c>
      <c r="C615" s="72" t="s">
        <v>30</v>
      </c>
      <c r="D615" s="72" t="s">
        <v>1057</v>
      </c>
      <c r="E615" s="72" t="s">
        <v>1058</v>
      </c>
      <c r="F615" s="72"/>
      <c r="G615" s="73">
        <v>1200</v>
      </c>
      <c r="H615" s="74">
        <v>5.6</v>
      </c>
      <c r="I615" s="83">
        <f t="shared" si="22"/>
        <v>6720</v>
      </c>
      <c r="J615" s="72" t="s">
        <v>852</v>
      </c>
      <c r="K615" s="72" t="s">
        <v>1059</v>
      </c>
      <c r="L615" s="99" t="s">
        <v>130</v>
      </c>
      <c r="M615" s="78"/>
    </row>
    <row r="616" spans="1:13" s="79" customFormat="1" ht="17.25" customHeight="1">
      <c r="A616" s="71">
        <v>42342</v>
      </c>
      <c r="B616" s="72" t="s">
        <v>1060</v>
      </c>
      <c r="C616" s="72" t="s">
        <v>447</v>
      </c>
      <c r="D616" s="72" t="s">
        <v>1061</v>
      </c>
      <c r="E616" s="72" t="s">
        <v>1062</v>
      </c>
      <c r="F616" s="72" t="s">
        <v>154</v>
      </c>
      <c r="G616" s="90">
        <v>76344</v>
      </c>
      <c r="H616" s="74">
        <v>3.9</v>
      </c>
      <c r="I616" s="83">
        <f>G616*H616</f>
        <v>297741.59999999998</v>
      </c>
      <c r="J616" s="72" t="s">
        <v>366</v>
      </c>
      <c r="K616" s="71">
        <v>42459</v>
      </c>
      <c r="L616" s="99" t="s">
        <v>130</v>
      </c>
      <c r="M616" s="78"/>
    </row>
    <row r="617" spans="1:13" s="79" customFormat="1" ht="17.25" customHeight="1">
      <c r="A617" s="71">
        <v>42342</v>
      </c>
      <c r="B617" s="72" t="s">
        <v>1060</v>
      </c>
      <c r="C617" s="72" t="s">
        <v>447</v>
      </c>
      <c r="D617" s="72" t="s">
        <v>1063</v>
      </c>
      <c r="E617" s="72" t="s">
        <v>1062</v>
      </c>
      <c r="F617" s="72" t="s">
        <v>154</v>
      </c>
      <c r="G617" s="90">
        <v>46160</v>
      </c>
      <c r="H617" s="74">
        <v>3.9</v>
      </c>
      <c r="I617" s="83">
        <f>G617*H617</f>
        <v>180024</v>
      </c>
      <c r="J617" s="72" t="s">
        <v>366</v>
      </c>
      <c r="K617" s="71">
        <v>42459</v>
      </c>
      <c r="L617" s="99" t="s">
        <v>130</v>
      </c>
      <c r="M617" s="78"/>
    </row>
    <row r="618" spans="1:13" s="79" customFormat="1" ht="17.25" customHeight="1">
      <c r="A618" s="89">
        <v>42382</v>
      </c>
      <c r="B618" s="72"/>
      <c r="C618" s="72" t="s">
        <v>386</v>
      </c>
      <c r="D618" s="72" t="s">
        <v>1064</v>
      </c>
      <c r="E618" s="72" t="s">
        <v>1065</v>
      </c>
      <c r="F618" s="72" t="s">
        <v>154</v>
      </c>
      <c r="G618" s="90">
        <v>72216</v>
      </c>
      <c r="H618" s="74">
        <v>3.4</v>
      </c>
      <c r="I618" s="83">
        <f t="shared" ref="I618:I681" si="23">G618*H618</f>
        <v>245534.4</v>
      </c>
      <c r="J618" s="72" t="s">
        <v>232</v>
      </c>
      <c r="K618" s="71">
        <v>42503</v>
      </c>
      <c r="L618" s="99" t="s">
        <v>119</v>
      </c>
      <c r="M618" s="78"/>
    </row>
    <row r="619" spans="1:13" s="79" customFormat="1" ht="17.25" customHeight="1">
      <c r="A619" s="89">
        <v>42382</v>
      </c>
      <c r="B619" s="72"/>
      <c r="C619" s="72" t="s">
        <v>386</v>
      </c>
      <c r="D619" s="72" t="s">
        <v>1066</v>
      </c>
      <c r="E619" s="72" t="s">
        <v>1065</v>
      </c>
      <c r="F619" s="72" t="s">
        <v>154</v>
      </c>
      <c r="G619" s="90">
        <v>944</v>
      </c>
      <c r="H619" s="74">
        <v>3.4</v>
      </c>
      <c r="I619" s="83">
        <f t="shared" si="23"/>
        <v>3209.6</v>
      </c>
      <c r="J619" s="72" t="s">
        <v>232</v>
      </c>
      <c r="K619" s="71">
        <v>42503</v>
      </c>
      <c r="L619" s="99" t="s">
        <v>119</v>
      </c>
      <c r="M619" s="78"/>
    </row>
    <row r="620" spans="1:13" s="79" customFormat="1" ht="17.25" customHeight="1">
      <c r="A620" s="89">
        <v>42429</v>
      </c>
      <c r="B620" s="72"/>
      <c r="C620" s="72" t="s">
        <v>386</v>
      </c>
      <c r="D620" s="72" t="s">
        <v>1067</v>
      </c>
      <c r="E620" s="72" t="s">
        <v>485</v>
      </c>
      <c r="F620" s="72" t="s">
        <v>446</v>
      </c>
      <c r="G620" s="90">
        <v>5722</v>
      </c>
      <c r="H620" s="74">
        <v>4.3499999999999996</v>
      </c>
      <c r="I620" s="83">
        <f t="shared" si="23"/>
        <v>24890.699999999997</v>
      </c>
      <c r="J620" s="72" t="s">
        <v>118</v>
      </c>
      <c r="K620" s="71">
        <v>42515</v>
      </c>
      <c r="L620" s="110" t="s">
        <v>130</v>
      </c>
      <c r="M620" s="78"/>
    </row>
    <row r="621" spans="1:13" s="79" customFormat="1" ht="17.25" customHeight="1">
      <c r="A621" s="89">
        <v>42429</v>
      </c>
      <c r="B621" s="72"/>
      <c r="C621" s="72" t="s">
        <v>386</v>
      </c>
      <c r="D621" s="72" t="s">
        <v>1068</v>
      </c>
      <c r="E621" s="72" t="s">
        <v>485</v>
      </c>
      <c r="F621" s="72" t="s">
        <v>453</v>
      </c>
      <c r="G621" s="90">
        <v>112</v>
      </c>
      <c r="H621" s="74">
        <v>4.2</v>
      </c>
      <c r="I621" s="83">
        <f t="shared" si="23"/>
        <v>470.40000000000003</v>
      </c>
      <c r="J621" s="72" t="s">
        <v>118</v>
      </c>
      <c r="K621" s="71">
        <v>42515</v>
      </c>
      <c r="L621" s="110" t="s">
        <v>130</v>
      </c>
      <c r="M621" s="78"/>
    </row>
    <row r="622" spans="1:13" s="79" customFormat="1" ht="17.25" customHeight="1">
      <c r="A622" s="89">
        <v>42429</v>
      </c>
      <c r="B622" s="72"/>
      <c r="C622" s="72" t="s">
        <v>386</v>
      </c>
      <c r="D622" s="72" t="s">
        <v>1069</v>
      </c>
      <c r="E622" s="72" t="s">
        <v>485</v>
      </c>
      <c r="F622" s="72" t="s">
        <v>1021</v>
      </c>
      <c r="G622" s="90">
        <v>1238</v>
      </c>
      <c r="H622" s="74">
        <v>4.3499999999999996</v>
      </c>
      <c r="I622" s="83">
        <f t="shared" si="23"/>
        <v>5385.2999999999993</v>
      </c>
      <c r="J622" s="72" t="s">
        <v>118</v>
      </c>
      <c r="K622" s="71">
        <v>42515</v>
      </c>
      <c r="L622" s="110" t="s">
        <v>130</v>
      </c>
      <c r="M622" s="78"/>
    </row>
    <row r="623" spans="1:13" s="79" customFormat="1" ht="17.25" customHeight="1">
      <c r="A623" s="89">
        <v>42429</v>
      </c>
      <c r="B623" s="72"/>
      <c r="C623" s="72" t="s">
        <v>350</v>
      </c>
      <c r="D623" s="72" t="s">
        <v>1070</v>
      </c>
      <c r="E623" s="72" t="s">
        <v>1071</v>
      </c>
      <c r="F623" s="72" t="s">
        <v>437</v>
      </c>
      <c r="G623" s="90">
        <v>2808</v>
      </c>
      <c r="H623" s="74">
        <v>4.3499999999999996</v>
      </c>
      <c r="I623" s="83">
        <f t="shared" si="23"/>
        <v>12214.8</v>
      </c>
      <c r="J623" s="72" t="s">
        <v>118</v>
      </c>
      <c r="K623" s="71">
        <v>42515</v>
      </c>
      <c r="L623" s="110" t="s">
        <v>130</v>
      </c>
      <c r="M623" s="78"/>
    </row>
    <row r="624" spans="1:13" s="79" customFormat="1" ht="17.25" customHeight="1">
      <c r="A624" s="89">
        <v>42430</v>
      </c>
      <c r="B624" s="72"/>
      <c r="C624" s="72" t="s">
        <v>350</v>
      </c>
      <c r="D624" s="72" t="s">
        <v>1072</v>
      </c>
      <c r="E624" s="72" t="s">
        <v>434</v>
      </c>
      <c r="F624" s="72" t="s">
        <v>227</v>
      </c>
      <c r="G624" s="90">
        <v>268</v>
      </c>
      <c r="H624" s="74">
        <v>3.85</v>
      </c>
      <c r="I624" s="83">
        <f t="shared" si="23"/>
        <v>1031.8</v>
      </c>
      <c r="J624" s="72" t="s">
        <v>118</v>
      </c>
      <c r="K624" s="71">
        <v>42515</v>
      </c>
      <c r="L624" s="110" t="s">
        <v>130</v>
      </c>
      <c r="M624" s="78"/>
    </row>
    <row r="625" spans="1:13" s="79" customFormat="1" ht="17.25" customHeight="1">
      <c r="A625" s="89">
        <v>42430</v>
      </c>
      <c r="B625" s="72"/>
      <c r="C625" s="72" t="s">
        <v>350</v>
      </c>
      <c r="D625" s="72" t="s">
        <v>1073</v>
      </c>
      <c r="E625" s="72" t="s">
        <v>434</v>
      </c>
      <c r="F625" s="72" t="s">
        <v>1074</v>
      </c>
      <c r="G625" s="90">
        <v>1488</v>
      </c>
      <c r="H625" s="74">
        <v>3.7</v>
      </c>
      <c r="I625" s="83">
        <f t="shared" si="23"/>
        <v>5505.6</v>
      </c>
      <c r="J625" s="72" t="s">
        <v>118</v>
      </c>
      <c r="K625" s="71">
        <v>42515</v>
      </c>
      <c r="L625" s="110" t="s">
        <v>130</v>
      </c>
      <c r="M625" s="78"/>
    </row>
    <row r="626" spans="1:13" s="79" customFormat="1" ht="17.25" customHeight="1">
      <c r="A626" s="89">
        <v>42437</v>
      </c>
      <c r="B626" s="72"/>
      <c r="C626" s="72" t="s">
        <v>350</v>
      </c>
      <c r="D626" s="72" t="s">
        <v>1075</v>
      </c>
      <c r="E626" s="72" t="s">
        <v>434</v>
      </c>
      <c r="F626" s="72" t="s">
        <v>227</v>
      </c>
      <c r="G626" s="90">
        <v>122</v>
      </c>
      <c r="H626" s="74">
        <v>3.85</v>
      </c>
      <c r="I626" s="83">
        <f t="shared" si="23"/>
        <v>469.7</v>
      </c>
      <c r="J626" s="72" t="s">
        <v>136</v>
      </c>
      <c r="K626" s="71">
        <v>42482</v>
      </c>
      <c r="L626" s="110" t="s">
        <v>130</v>
      </c>
      <c r="M626" s="78"/>
    </row>
    <row r="627" spans="1:13" s="79" customFormat="1" ht="17.25" customHeight="1">
      <c r="A627" s="89">
        <v>42437</v>
      </c>
      <c r="B627" s="72"/>
      <c r="C627" s="72" t="s">
        <v>350</v>
      </c>
      <c r="D627" s="72" t="s">
        <v>1076</v>
      </c>
      <c r="E627" s="72" t="s">
        <v>434</v>
      </c>
      <c r="F627" s="72" t="s">
        <v>227</v>
      </c>
      <c r="G627" s="90">
        <v>122</v>
      </c>
      <c r="H627" s="74">
        <v>3.85</v>
      </c>
      <c r="I627" s="83">
        <f t="shared" si="23"/>
        <v>469.7</v>
      </c>
      <c r="J627" s="72" t="s">
        <v>136</v>
      </c>
      <c r="K627" s="71">
        <v>42482</v>
      </c>
      <c r="L627" s="110" t="s">
        <v>130</v>
      </c>
      <c r="M627" s="78"/>
    </row>
    <row r="628" spans="1:13" s="79" customFormat="1" ht="17.25" customHeight="1">
      <c r="A628" s="89">
        <v>42437</v>
      </c>
      <c r="B628" s="72"/>
      <c r="C628" s="72" t="s">
        <v>350</v>
      </c>
      <c r="D628" s="72" t="s">
        <v>1077</v>
      </c>
      <c r="E628" s="72" t="s">
        <v>434</v>
      </c>
      <c r="F628" s="72" t="s">
        <v>227</v>
      </c>
      <c r="G628" s="90">
        <v>122</v>
      </c>
      <c r="H628" s="74">
        <v>3.85</v>
      </c>
      <c r="I628" s="83">
        <f t="shared" si="23"/>
        <v>469.7</v>
      </c>
      <c r="J628" s="72" t="s">
        <v>136</v>
      </c>
      <c r="K628" s="71">
        <v>42482</v>
      </c>
      <c r="L628" s="110" t="s">
        <v>130</v>
      </c>
      <c r="M628" s="78"/>
    </row>
    <row r="629" spans="1:13" s="79" customFormat="1" ht="17.25" customHeight="1">
      <c r="A629" s="89">
        <v>42437</v>
      </c>
      <c r="B629" s="72"/>
      <c r="C629" s="72" t="s">
        <v>350</v>
      </c>
      <c r="D629" s="72" t="s">
        <v>1078</v>
      </c>
      <c r="E629" s="72" t="s">
        <v>434</v>
      </c>
      <c r="F629" s="72" t="s">
        <v>227</v>
      </c>
      <c r="G629" s="90">
        <v>122</v>
      </c>
      <c r="H629" s="74">
        <v>3.85</v>
      </c>
      <c r="I629" s="83">
        <f t="shared" si="23"/>
        <v>469.7</v>
      </c>
      <c r="J629" s="72" t="s">
        <v>136</v>
      </c>
      <c r="K629" s="71">
        <v>42482</v>
      </c>
      <c r="L629" s="110" t="s">
        <v>130</v>
      </c>
      <c r="M629" s="78"/>
    </row>
    <row r="630" spans="1:13" s="79" customFormat="1" ht="17.25" customHeight="1">
      <c r="A630" s="71">
        <v>42398</v>
      </c>
      <c r="B630" s="72"/>
      <c r="C630" s="72" t="s">
        <v>292</v>
      </c>
      <c r="D630" s="72" t="s">
        <v>1079</v>
      </c>
      <c r="E630" s="72" t="s">
        <v>1080</v>
      </c>
      <c r="F630" s="72" t="s">
        <v>342</v>
      </c>
      <c r="G630" s="73">
        <v>3052</v>
      </c>
      <c r="H630" s="74">
        <v>5.35</v>
      </c>
      <c r="I630" s="75">
        <f t="shared" si="23"/>
        <v>16328.199999999999</v>
      </c>
      <c r="J630" s="72" t="s">
        <v>232</v>
      </c>
      <c r="K630" s="71">
        <v>42508</v>
      </c>
      <c r="L630" s="99" t="s">
        <v>130</v>
      </c>
      <c r="M630" s="78"/>
    </row>
    <row r="631" spans="1:13" s="79" customFormat="1" ht="17.25" customHeight="1">
      <c r="A631" s="71">
        <v>42398</v>
      </c>
      <c r="B631" s="72"/>
      <c r="C631" s="72" t="s">
        <v>292</v>
      </c>
      <c r="D631" s="72" t="s">
        <v>1081</v>
      </c>
      <c r="E631" s="72" t="s">
        <v>1080</v>
      </c>
      <c r="F631" s="72" t="s">
        <v>342</v>
      </c>
      <c r="G631" s="73">
        <v>2400</v>
      </c>
      <c r="H631" s="74">
        <v>5.35</v>
      </c>
      <c r="I631" s="75">
        <f t="shared" si="23"/>
        <v>12840</v>
      </c>
      <c r="J631" s="72" t="s">
        <v>232</v>
      </c>
      <c r="K631" s="71">
        <v>42508</v>
      </c>
      <c r="L631" s="99" t="s">
        <v>130</v>
      </c>
      <c r="M631" s="78"/>
    </row>
    <row r="632" spans="1:13" s="79" customFormat="1" ht="17.25" customHeight="1">
      <c r="A632" s="71">
        <v>42416</v>
      </c>
      <c r="B632" s="72"/>
      <c r="C632" s="72" t="s">
        <v>25</v>
      </c>
      <c r="D632" s="72" t="s">
        <v>1082</v>
      </c>
      <c r="E632" s="72" t="s">
        <v>1083</v>
      </c>
      <c r="F632" s="72" t="s">
        <v>356</v>
      </c>
      <c r="G632" s="73">
        <v>120</v>
      </c>
      <c r="H632" s="74">
        <v>6.35</v>
      </c>
      <c r="I632" s="75">
        <f t="shared" si="23"/>
        <v>762</v>
      </c>
      <c r="J632" s="72" t="s">
        <v>232</v>
      </c>
      <c r="K632" s="71">
        <v>42510</v>
      </c>
      <c r="L632" s="99" t="s">
        <v>130</v>
      </c>
      <c r="M632" s="78"/>
    </row>
    <row r="633" spans="1:13" s="79" customFormat="1" ht="17.25" customHeight="1">
      <c r="A633" s="71">
        <v>42416</v>
      </c>
      <c r="B633" s="72"/>
      <c r="C633" s="72" t="s">
        <v>25</v>
      </c>
      <c r="D633" s="72" t="s">
        <v>1084</v>
      </c>
      <c r="E633" s="72" t="s">
        <v>1083</v>
      </c>
      <c r="F633" s="72" t="s">
        <v>356</v>
      </c>
      <c r="G633" s="73">
        <v>1884</v>
      </c>
      <c r="H633" s="74">
        <v>6.35</v>
      </c>
      <c r="I633" s="75">
        <f t="shared" si="23"/>
        <v>11963.4</v>
      </c>
      <c r="J633" s="72" t="s">
        <v>232</v>
      </c>
      <c r="K633" s="71">
        <v>42510</v>
      </c>
      <c r="L633" s="99" t="s">
        <v>130</v>
      </c>
      <c r="M633" s="78"/>
    </row>
    <row r="634" spans="1:13" s="79" customFormat="1" ht="17.25" customHeight="1">
      <c r="A634" s="71">
        <v>42416</v>
      </c>
      <c r="B634" s="72"/>
      <c r="C634" s="72" t="s">
        <v>25</v>
      </c>
      <c r="D634" s="72" t="s">
        <v>1085</v>
      </c>
      <c r="E634" s="72" t="s">
        <v>1083</v>
      </c>
      <c r="F634" s="72" t="s">
        <v>356</v>
      </c>
      <c r="G634" s="73">
        <v>2958</v>
      </c>
      <c r="H634" s="74">
        <v>6.35</v>
      </c>
      <c r="I634" s="75">
        <f t="shared" si="23"/>
        <v>18783.3</v>
      </c>
      <c r="J634" s="72" t="s">
        <v>232</v>
      </c>
      <c r="K634" s="71">
        <v>42510</v>
      </c>
      <c r="L634" s="99" t="s">
        <v>130</v>
      </c>
      <c r="M634" s="78"/>
    </row>
    <row r="635" spans="1:13" s="79" customFormat="1" ht="17.25" customHeight="1">
      <c r="A635" s="71">
        <v>42406</v>
      </c>
      <c r="B635" s="81"/>
      <c r="C635" s="82" t="s">
        <v>125</v>
      </c>
      <c r="D635" s="72" t="s">
        <v>1086</v>
      </c>
      <c r="E635" s="72" t="s">
        <v>1087</v>
      </c>
      <c r="F635" s="72" t="s">
        <v>558</v>
      </c>
      <c r="G635" s="86">
        <v>360</v>
      </c>
      <c r="H635" s="74">
        <v>5.25</v>
      </c>
      <c r="I635" s="83">
        <f t="shared" si="23"/>
        <v>1890</v>
      </c>
      <c r="J635" s="72" t="s">
        <v>140</v>
      </c>
      <c r="K635" s="71">
        <v>42507</v>
      </c>
      <c r="L635" s="99" t="s">
        <v>130</v>
      </c>
      <c r="M635" s="78"/>
    </row>
    <row r="636" spans="1:13" s="79" customFormat="1" ht="17.25" customHeight="1">
      <c r="A636" s="71">
        <v>42406</v>
      </c>
      <c r="B636" s="81"/>
      <c r="C636" s="82" t="s">
        <v>125</v>
      </c>
      <c r="D636" s="72" t="s">
        <v>1088</v>
      </c>
      <c r="E636" s="72" t="s">
        <v>1089</v>
      </c>
      <c r="F636" s="72" t="s">
        <v>558</v>
      </c>
      <c r="G636" s="86">
        <v>360</v>
      </c>
      <c r="H636" s="74">
        <v>5.35</v>
      </c>
      <c r="I636" s="83">
        <f t="shared" si="23"/>
        <v>1925.9999999999998</v>
      </c>
      <c r="J636" s="72" t="s">
        <v>140</v>
      </c>
      <c r="K636" s="71">
        <v>42507</v>
      </c>
      <c r="L636" s="99" t="s">
        <v>130</v>
      </c>
      <c r="M636" s="78"/>
    </row>
    <row r="637" spans="1:13" s="79" customFormat="1" ht="17.25" customHeight="1">
      <c r="A637" s="71">
        <v>42406</v>
      </c>
      <c r="B637" s="81"/>
      <c r="C637" s="82" t="s">
        <v>125</v>
      </c>
      <c r="D637" s="72" t="s">
        <v>1088</v>
      </c>
      <c r="E637" s="72" t="s">
        <v>1089</v>
      </c>
      <c r="F637" s="72" t="s">
        <v>558</v>
      </c>
      <c r="G637" s="86">
        <v>360</v>
      </c>
      <c r="H637" s="74">
        <v>5</v>
      </c>
      <c r="I637" s="83">
        <f t="shared" si="23"/>
        <v>1800</v>
      </c>
      <c r="J637" s="72" t="s">
        <v>140</v>
      </c>
      <c r="K637" s="71">
        <v>42507</v>
      </c>
      <c r="L637" s="99" t="s">
        <v>130</v>
      </c>
      <c r="M637" s="78"/>
    </row>
    <row r="638" spans="1:13" s="79" customFormat="1" ht="17.25" customHeight="1">
      <c r="A638" s="71">
        <v>42414</v>
      </c>
      <c r="B638" s="81"/>
      <c r="C638" s="82" t="s">
        <v>125</v>
      </c>
      <c r="D638" s="72" t="s">
        <v>1090</v>
      </c>
      <c r="E638" s="72" t="s">
        <v>1091</v>
      </c>
      <c r="F638" s="72" t="s">
        <v>1092</v>
      </c>
      <c r="G638" s="86">
        <v>222</v>
      </c>
      <c r="H638" s="74">
        <v>5.35</v>
      </c>
      <c r="I638" s="83">
        <f t="shared" si="23"/>
        <v>1187.6999999999998</v>
      </c>
      <c r="J638" s="72" t="s">
        <v>140</v>
      </c>
      <c r="K638" s="71">
        <v>42507</v>
      </c>
      <c r="L638" s="99" t="s">
        <v>130</v>
      </c>
      <c r="M638" s="78"/>
    </row>
    <row r="639" spans="1:13" s="79" customFormat="1" ht="17.25" customHeight="1">
      <c r="A639" s="71">
        <v>42414</v>
      </c>
      <c r="B639" s="81"/>
      <c r="C639" s="82" t="s">
        <v>125</v>
      </c>
      <c r="D639" s="72" t="s">
        <v>1093</v>
      </c>
      <c r="E639" s="72" t="s">
        <v>1094</v>
      </c>
      <c r="F639" s="72" t="s">
        <v>322</v>
      </c>
      <c r="G639" s="86">
        <v>54</v>
      </c>
      <c r="H639" s="74">
        <v>5</v>
      </c>
      <c r="I639" s="83">
        <f t="shared" si="23"/>
        <v>270</v>
      </c>
      <c r="J639" s="72" t="s">
        <v>140</v>
      </c>
      <c r="K639" s="71">
        <v>42507</v>
      </c>
      <c r="L639" s="99" t="s">
        <v>130</v>
      </c>
      <c r="M639" s="78"/>
    </row>
    <row r="640" spans="1:13" s="79" customFormat="1" ht="17.25" customHeight="1">
      <c r="A640" s="71">
        <v>42414</v>
      </c>
      <c r="B640" s="81"/>
      <c r="C640" s="82" t="s">
        <v>125</v>
      </c>
      <c r="D640" s="72" t="s">
        <v>1093</v>
      </c>
      <c r="E640" s="72" t="s">
        <v>1094</v>
      </c>
      <c r="F640" s="117" t="s">
        <v>322</v>
      </c>
      <c r="G640" s="86">
        <v>54</v>
      </c>
      <c r="H640" s="74">
        <v>5.25</v>
      </c>
      <c r="I640" s="83">
        <f t="shared" si="23"/>
        <v>283.5</v>
      </c>
      <c r="J640" s="72" t="s">
        <v>140</v>
      </c>
      <c r="K640" s="71">
        <v>42507</v>
      </c>
      <c r="L640" s="99" t="s">
        <v>130</v>
      </c>
      <c r="M640" s="78"/>
    </row>
    <row r="641" spans="1:13" s="79" customFormat="1" ht="17.25" customHeight="1">
      <c r="A641" s="71">
        <v>42437</v>
      </c>
      <c r="B641" s="81"/>
      <c r="C641" s="82" t="s">
        <v>125</v>
      </c>
      <c r="D641" s="72" t="s">
        <v>1095</v>
      </c>
      <c r="E641" s="72" t="s">
        <v>1096</v>
      </c>
      <c r="F641" s="117" t="s">
        <v>558</v>
      </c>
      <c r="G641" s="86">
        <v>738</v>
      </c>
      <c r="H641" s="74">
        <v>5.05</v>
      </c>
      <c r="I641" s="83">
        <f t="shared" si="23"/>
        <v>3726.9</v>
      </c>
      <c r="J641" s="72" t="s">
        <v>1097</v>
      </c>
      <c r="K641" s="71">
        <v>42555</v>
      </c>
      <c r="L641" s="99" t="s">
        <v>130</v>
      </c>
      <c r="M641" s="78"/>
    </row>
    <row r="642" spans="1:13" s="79" customFormat="1" ht="17.25" customHeight="1">
      <c r="A642" s="71">
        <v>42437</v>
      </c>
      <c r="B642" s="81"/>
      <c r="C642" s="82" t="s">
        <v>125</v>
      </c>
      <c r="D642" s="72" t="s">
        <v>1095</v>
      </c>
      <c r="E642" s="72" t="s">
        <v>1098</v>
      </c>
      <c r="F642" s="117" t="s">
        <v>558</v>
      </c>
      <c r="G642" s="86">
        <v>684</v>
      </c>
      <c r="H642" s="74">
        <v>4.5</v>
      </c>
      <c r="I642" s="83">
        <f t="shared" si="23"/>
        <v>3078</v>
      </c>
      <c r="J642" s="72" t="s">
        <v>1097</v>
      </c>
      <c r="K642" s="71">
        <v>42555</v>
      </c>
      <c r="L642" s="99" t="s">
        <v>130</v>
      </c>
      <c r="M642" s="78"/>
    </row>
    <row r="643" spans="1:13" s="79" customFormat="1" ht="17.25" customHeight="1">
      <c r="A643" s="71">
        <v>42396</v>
      </c>
      <c r="B643" s="72"/>
      <c r="C643" s="72" t="s">
        <v>31</v>
      </c>
      <c r="D643" s="72" t="s">
        <v>1099</v>
      </c>
      <c r="E643" s="72" t="s">
        <v>525</v>
      </c>
      <c r="F643" s="120" t="s">
        <v>227</v>
      </c>
      <c r="G643" s="73">
        <v>5199</v>
      </c>
      <c r="H643" s="74"/>
      <c r="I643" s="75">
        <f t="shared" si="23"/>
        <v>0</v>
      </c>
      <c r="J643" s="71">
        <v>42506</v>
      </c>
      <c r="K643" s="71">
        <v>42529</v>
      </c>
      <c r="L643" s="99" t="s">
        <v>130</v>
      </c>
      <c r="M643" s="78"/>
    </row>
    <row r="644" spans="1:13" s="79" customFormat="1" ht="17.25" customHeight="1">
      <c r="A644" s="71">
        <v>42396</v>
      </c>
      <c r="B644" s="72"/>
      <c r="C644" s="72" t="s">
        <v>31</v>
      </c>
      <c r="D644" s="72" t="s">
        <v>1100</v>
      </c>
      <c r="E644" s="72" t="s">
        <v>531</v>
      </c>
      <c r="F644" s="120" t="s">
        <v>227</v>
      </c>
      <c r="G644" s="73">
        <v>84</v>
      </c>
      <c r="H644" s="74"/>
      <c r="I644" s="75">
        <f t="shared" si="23"/>
        <v>0</v>
      </c>
      <c r="J644" s="71">
        <v>42506</v>
      </c>
      <c r="K644" s="71">
        <v>42529</v>
      </c>
      <c r="L644" s="99" t="s">
        <v>130</v>
      </c>
      <c r="M644" s="78"/>
    </row>
    <row r="645" spans="1:13" s="79" customFormat="1" ht="17.25" customHeight="1">
      <c r="A645" s="71">
        <v>42396</v>
      </c>
      <c r="B645" s="72"/>
      <c r="C645" s="72" t="s">
        <v>31</v>
      </c>
      <c r="D645" s="72" t="s">
        <v>1101</v>
      </c>
      <c r="E645" s="72" t="s">
        <v>531</v>
      </c>
      <c r="F645" s="120" t="s">
        <v>227</v>
      </c>
      <c r="G645" s="73">
        <v>1326</v>
      </c>
      <c r="H645" s="74"/>
      <c r="I645" s="75">
        <f t="shared" si="23"/>
        <v>0</v>
      </c>
      <c r="J645" s="71">
        <v>42506</v>
      </c>
      <c r="K645" s="71">
        <v>42529</v>
      </c>
      <c r="L645" s="99" t="s">
        <v>130</v>
      </c>
      <c r="M645" s="78"/>
    </row>
    <row r="646" spans="1:13" s="79" customFormat="1" ht="17.25" customHeight="1">
      <c r="A646" s="71">
        <v>42402</v>
      </c>
      <c r="B646" s="72"/>
      <c r="C646" s="72" t="s">
        <v>447</v>
      </c>
      <c r="D646" s="72" t="s">
        <v>1102</v>
      </c>
      <c r="E646" s="72" t="s">
        <v>612</v>
      </c>
      <c r="F646" s="120"/>
      <c r="G646" s="73">
        <v>180</v>
      </c>
      <c r="H646" s="74"/>
      <c r="I646" s="75">
        <f t="shared" si="23"/>
        <v>0</v>
      </c>
      <c r="J646" s="71">
        <v>42478</v>
      </c>
      <c r="K646" s="71">
        <v>42494</v>
      </c>
      <c r="L646" s="99" t="s">
        <v>130</v>
      </c>
      <c r="M646" s="78"/>
    </row>
    <row r="647" spans="1:13" s="79" customFormat="1" ht="17.25" customHeight="1">
      <c r="A647" s="71">
        <v>42402</v>
      </c>
      <c r="B647" s="72"/>
      <c r="C647" s="72" t="s">
        <v>447</v>
      </c>
      <c r="D647" s="72" t="s">
        <v>1102</v>
      </c>
      <c r="E647" s="72" t="s">
        <v>611</v>
      </c>
      <c r="F647" s="120"/>
      <c r="G647" s="73">
        <v>144</v>
      </c>
      <c r="H647" s="74"/>
      <c r="I647" s="75">
        <f t="shared" si="23"/>
        <v>0</v>
      </c>
      <c r="J647" s="71">
        <v>42478</v>
      </c>
      <c r="K647" s="71">
        <v>42494</v>
      </c>
      <c r="L647" s="99" t="s">
        <v>130</v>
      </c>
      <c r="M647" s="78"/>
    </row>
    <row r="648" spans="1:13" s="79" customFormat="1" ht="17.25" customHeight="1">
      <c r="A648" s="71">
        <v>42402</v>
      </c>
      <c r="B648" s="72"/>
      <c r="C648" s="72" t="s">
        <v>447</v>
      </c>
      <c r="D648" s="72" t="s">
        <v>1102</v>
      </c>
      <c r="E648" s="72" t="s">
        <v>610</v>
      </c>
      <c r="F648" s="120"/>
      <c r="G648" s="73">
        <v>144</v>
      </c>
      <c r="H648" s="74"/>
      <c r="I648" s="75">
        <f t="shared" si="23"/>
        <v>0</v>
      </c>
      <c r="J648" s="71">
        <v>42478</v>
      </c>
      <c r="K648" s="71">
        <v>42494</v>
      </c>
      <c r="L648" s="99" t="s">
        <v>130</v>
      </c>
      <c r="M648" s="78"/>
    </row>
    <row r="649" spans="1:13" s="79" customFormat="1" ht="17.25" customHeight="1">
      <c r="A649" s="71">
        <v>42402</v>
      </c>
      <c r="B649" s="72"/>
      <c r="C649" s="72" t="s">
        <v>447</v>
      </c>
      <c r="D649" s="72" t="s">
        <v>1102</v>
      </c>
      <c r="E649" s="72" t="s">
        <v>613</v>
      </c>
      <c r="F649" s="98"/>
      <c r="G649" s="73">
        <v>144</v>
      </c>
      <c r="H649" s="74"/>
      <c r="I649" s="75">
        <f t="shared" si="23"/>
        <v>0</v>
      </c>
      <c r="J649" s="71">
        <v>42478</v>
      </c>
      <c r="K649" s="71">
        <v>42494</v>
      </c>
      <c r="L649" s="99" t="s">
        <v>130</v>
      </c>
      <c r="M649" s="78"/>
    </row>
    <row r="650" spans="1:13" s="79" customFormat="1" ht="17.25" customHeight="1">
      <c r="A650" s="71">
        <v>42417</v>
      </c>
      <c r="B650" s="72"/>
      <c r="C650" s="72" t="s">
        <v>30</v>
      </c>
      <c r="D650" s="72" t="s">
        <v>1103</v>
      </c>
      <c r="E650" s="72" t="s">
        <v>1104</v>
      </c>
      <c r="F650" s="98" t="s">
        <v>154</v>
      </c>
      <c r="G650" s="73">
        <v>24036</v>
      </c>
      <c r="H650" s="74">
        <v>3.85</v>
      </c>
      <c r="I650" s="75">
        <f t="shared" si="23"/>
        <v>92538.6</v>
      </c>
      <c r="J650" s="71">
        <v>42506</v>
      </c>
      <c r="K650" s="71">
        <v>42522</v>
      </c>
      <c r="L650" s="99" t="s">
        <v>130</v>
      </c>
      <c r="M650" s="78"/>
    </row>
    <row r="651" spans="1:13" s="79" customFormat="1" ht="17.25" customHeight="1">
      <c r="A651" s="71">
        <v>42417</v>
      </c>
      <c r="B651" s="72"/>
      <c r="C651" s="72" t="s">
        <v>30</v>
      </c>
      <c r="D651" s="72" t="s">
        <v>1103</v>
      </c>
      <c r="E651" s="72" t="s">
        <v>1105</v>
      </c>
      <c r="F651" s="98" t="s">
        <v>154</v>
      </c>
      <c r="G651" s="73">
        <v>22200</v>
      </c>
      <c r="H651" s="74">
        <v>3.85</v>
      </c>
      <c r="I651" s="75">
        <f t="shared" si="23"/>
        <v>85470</v>
      </c>
      <c r="J651" s="71">
        <v>42506</v>
      </c>
      <c r="K651" s="71">
        <v>42522</v>
      </c>
      <c r="L651" s="99" t="s">
        <v>130</v>
      </c>
      <c r="M651" s="78"/>
    </row>
    <row r="652" spans="1:13" s="79" customFormat="1" ht="17.25" customHeight="1">
      <c r="A652" s="71">
        <v>42417</v>
      </c>
      <c r="B652" s="72"/>
      <c r="C652" s="72" t="s">
        <v>30</v>
      </c>
      <c r="D652" s="72" t="s">
        <v>1103</v>
      </c>
      <c r="E652" s="72" t="s">
        <v>1106</v>
      </c>
      <c r="F652" s="98" t="s">
        <v>154</v>
      </c>
      <c r="G652" s="73">
        <v>22200</v>
      </c>
      <c r="H652" s="74">
        <v>3.85</v>
      </c>
      <c r="I652" s="75">
        <f t="shared" si="23"/>
        <v>85470</v>
      </c>
      <c r="J652" s="71">
        <v>42506</v>
      </c>
      <c r="K652" s="71">
        <v>42522</v>
      </c>
      <c r="L652" s="99" t="s">
        <v>130</v>
      </c>
      <c r="M652" s="78"/>
    </row>
    <row r="653" spans="1:13" s="79" customFormat="1" ht="17.25" customHeight="1">
      <c r="A653" s="71">
        <v>42417</v>
      </c>
      <c r="B653" s="72"/>
      <c r="C653" s="72" t="s">
        <v>30</v>
      </c>
      <c r="D653" s="72" t="s">
        <v>1103</v>
      </c>
      <c r="E653" s="72" t="s">
        <v>1107</v>
      </c>
      <c r="F653" s="98" t="s">
        <v>154</v>
      </c>
      <c r="G653" s="73">
        <v>24036</v>
      </c>
      <c r="H653" s="74">
        <v>3.85</v>
      </c>
      <c r="I653" s="75">
        <f t="shared" si="23"/>
        <v>92538.6</v>
      </c>
      <c r="J653" s="71">
        <v>42506</v>
      </c>
      <c r="K653" s="71">
        <v>42522</v>
      </c>
      <c r="L653" s="99" t="s">
        <v>130</v>
      </c>
      <c r="M653" s="78"/>
    </row>
    <row r="654" spans="1:13" s="79" customFormat="1" ht="17.25" customHeight="1">
      <c r="A654" s="71">
        <v>42417</v>
      </c>
      <c r="B654" s="72"/>
      <c r="C654" s="72" t="s">
        <v>30</v>
      </c>
      <c r="D654" s="72" t="s">
        <v>1103</v>
      </c>
      <c r="E654" s="72" t="s">
        <v>1108</v>
      </c>
      <c r="F654" s="98" t="s">
        <v>154</v>
      </c>
      <c r="G654" s="73">
        <v>10584</v>
      </c>
      <c r="H654" s="74">
        <v>3.85</v>
      </c>
      <c r="I654" s="75">
        <f t="shared" si="23"/>
        <v>40748.400000000001</v>
      </c>
      <c r="J654" s="71">
        <v>42506</v>
      </c>
      <c r="K654" s="71">
        <v>42522</v>
      </c>
      <c r="L654" s="99" t="s">
        <v>130</v>
      </c>
      <c r="M654" s="78"/>
    </row>
    <row r="655" spans="1:13" s="79" customFormat="1" ht="17.25" customHeight="1">
      <c r="A655" s="71">
        <v>42417</v>
      </c>
      <c r="B655" s="72"/>
      <c r="C655" s="72" t="s">
        <v>30</v>
      </c>
      <c r="D655" s="72" t="s">
        <v>1103</v>
      </c>
      <c r="E655" s="72" t="s">
        <v>1109</v>
      </c>
      <c r="F655" s="98" t="s">
        <v>154</v>
      </c>
      <c r="G655" s="73">
        <v>10296</v>
      </c>
      <c r="H655" s="74">
        <v>3.85</v>
      </c>
      <c r="I655" s="75">
        <f t="shared" si="23"/>
        <v>39639.599999999999</v>
      </c>
      <c r="J655" s="71">
        <v>42506</v>
      </c>
      <c r="K655" s="71">
        <v>42522</v>
      </c>
      <c r="L655" s="99" t="s">
        <v>130</v>
      </c>
      <c r="M655" s="78"/>
    </row>
    <row r="656" spans="1:13" s="79" customFormat="1" ht="17.25" customHeight="1">
      <c r="A656" s="71">
        <v>42431</v>
      </c>
      <c r="B656" s="72"/>
      <c r="C656" s="72" t="s">
        <v>31</v>
      </c>
      <c r="D656" s="72" t="s">
        <v>1110</v>
      </c>
      <c r="E656" s="72" t="s">
        <v>1111</v>
      </c>
      <c r="F656" s="72" t="s">
        <v>154</v>
      </c>
      <c r="G656" s="73">
        <v>600</v>
      </c>
      <c r="H656" s="74">
        <v>5.55</v>
      </c>
      <c r="I656" s="83">
        <f t="shared" si="23"/>
        <v>3330</v>
      </c>
      <c r="J656" s="71">
        <v>42541</v>
      </c>
      <c r="K656" s="71">
        <v>42557</v>
      </c>
      <c r="L656" s="99" t="s">
        <v>119</v>
      </c>
      <c r="M656" s="78"/>
    </row>
    <row r="657" spans="1:251" s="79" customFormat="1" ht="17.25" customHeight="1">
      <c r="A657" s="71">
        <v>42431</v>
      </c>
      <c r="B657" s="72"/>
      <c r="C657" s="72" t="s">
        <v>30</v>
      </c>
      <c r="D657" s="72" t="s">
        <v>1112</v>
      </c>
      <c r="E657" s="72" t="s">
        <v>1104</v>
      </c>
      <c r="F657" s="72" t="s">
        <v>154</v>
      </c>
      <c r="G657" s="73">
        <v>408</v>
      </c>
      <c r="H657" s="74">
        <v>3.99</v>
      </c>
      <c r="I657" s="83">
        <f t="shared" si="23"/>
        <v>1627.92</v>
      </c>
      <c r="J657" s="71">
        <v>42506</v>
      </c>
      <c r="K657" s="71">
        <v>42522</v>
      </c>
      <c r="L657" s="99" t="s">
        <v>130</v>
      </c>
      <c r="M657" s="78"/>
    </row>
    <row r="658" spans="1:251" s="79" customFormat="1" ht="17.25" customHeight="1">
      <c r="A658" s="71">
        <v>42431</v>
      </c>
      <c r="B658" s="72"/>
      <c r="C658" s="72" t="s">
        <v>30</v>
      </c>
      <c r="D658" s="72" t="s">
        <v>1112</v>
      </c>
      <c r="E658" s="72" t="s">
        <v>1106</v>
      </c>
      <c r="F658" s="72" t="s">
        <v>154</v>
      </c>
      <c r="G658" s="73">
        <v>480</v>
      </c>
      <c r="H658" s="74">
        <v>3.85</v>
      </c>
      <c r="I658" s="83">
        <f t="shared" si="23"/>
        <v>1848</v>
      </c>
      <c r="J658" s="71">
        <v>42506</v>
      </c>
      <c r="K658" s="71">
        <v>42522</v>
      </c>
      <c r="L658" s="99" t="s">
        <v>130</v>
      </c>
      <c r="M658" s="78"/>
    </row>
    <row r="659" spans="1:251" s="79" customFormat="1" ht="17.25" customHeight="1">
      <c r="A659" s="71">
        <v>42431</v>
      </c>
      <c r="B659" s="72"/>
      <c r="C659" s="72" t="s">
        <v>30</v>
      </c>
      <c r="D659" s="72" t="s">
        <v>1112</v>
      </c>
      <c r="E659" s="72" t="s">
        <v>1109</v>
      </c>
      <c r="F659" s="72" t="s">
        <v>154</v>
      </c>
      <c r="G659" s="73">
        <v>240</v>
      </c>
      <c r="H659" s="74">
        <v>3.99</v>
      </c>
      <c r="I659" s="83">
        <f t="shared" si="23"/>
        <v>957.6</v>
      </c>
      <c r="J659" s="71">
        <v>42506</v>
      </c>
      <c r="K659" s="71">
        <v>42522</v>
      </c>
      <c r="L659" s="99" t="s">
        <v>130</v>
      </c>
      <c r="M659" s="78"/>
    </row>
    <row r="660" spans="1:251" s="79" customFormat="1" ht="17.25" customHeight="1">
      <c r="A660" s="71">
        <v>42431</v>
      </c>
      <c r="B660" s="72"/>
      <c r="C660" s="72" t="s">
        <v>30</v>
      </c>
      <c r="D660" s="72" t="s">
        <v>1112</v>
      </c>
      <c r="E660" s="72" t="s">
        <v>1107</v>
      </c>
      <c r="F660" s="72" t="s">
        <v>154</v>
      </c>
      <c r="G660" s="73">
        <v>552</v>
      </c>
      <c r="H660" s="74">
        <v>3.85</v>
      </c>
      <c r="I660" s="83">
        <f t="shared" si="23"/>
        <v>2125.2000000000003</v>
      </c>
      <c r="J660" s="71">
        <v>42506</v>
      </c>
      <c r="K660" s="71">
        <v>42522</v>
      </c>
      <c r="L660" s="99" t="s">
        <v>130</v>
      </c>
      <c r="M660" s="78"/>
    </row>
    <row r="661" spans="1:251" s="79" customFormat="1" ht="17.25" customHeight="1">
      <c r="A661" s="71">
        <v>42431</v>
      </c>
      <c r="B661" s="72"/>
      <c r="C661" s="72" t="s">
        <v>30</v>
      </c>
      <c r="D661" s="72" t="s">
        <v>1112</v>
      </c>
      <c r="E661" s="72" t="s">
        <v>1108</v>
      </c>
      <c r="F661" s="72" t="s">
        <v>154</v>
      </c>
      <c r="G661" s="73">
        <v>480</v>
      </c>
      <c r="H661" s="74">
        <v>3.85</v>
      </c>
      <c r="I661" s="83">
        <f t="shared" si="23"/>
        <v>1848</v>
      </c>
      <c r="J661" s="71">
        <v>42506</v>
      </c>
      <c r="K661" s="71">
        <v>42522</v>
      </c>
      <c r="L661" s="99" t="s">
        <v>130</v>
      </c>
      <c r="M661" s="78"/>
    </row>
    <row r="662" spans="1:251" s="79" customFormat="1" ht="17.25" customHeight="1">
      <c r="A662" s="71">
        <v>42431</v>
      </c>
      <c r="B662" s="72"/>
      <c r="C662" s="72" t="s">
        <v>30</v>
      </c>
      <c r="D662" s="72" t="s">
        <v>1112</v>
      </c>
      <c r="E662" s="72" t="s">
        <v>1105</v>
      </c>
      <c r="F662" s="72" t="s">
        <v>154</v>
      </c>
      <c r="G662" s="73">
        <v>360</v>
      </c>
      <c r="H662" s="74">
        <v>3.99</v>
      </c>
      <c r="I662" s="83">
        <f t="shared" si="23"/>
        <v>1436.4</v>
      </c>
      <c r="J662" s="71">
        <v>42506</v>
      </c>
      <c r="K662" s="71">
        <v>42522</v>
      </c>
      <c r="L662" s="99" t="s">
        <v>130</v>
      </c>
      <c r="M662" s="78"/>
    </row>
    <row r="663" spans="1:251" s="79" customFormat="1" ht="17.25" customHeight="1">
      <c r="A663" s="71">
        <v>42382</v>
      </c>
      <c r="B663" s="72"/>
      <c r="C663" s="72" t="s">
        <v>31</v>
      </c>
      <c r="D663" s="100" t="s">
        <v>1113</v>
      </c>
      <c r="E663" s="72" t="s">
        <v>306</v>
      </c>
      <c r="F663" s="72" t="s">
        <v>154</v>
      </c>
      <c r="G663" s="90">
        <v>492</v>
      </c>
      <c r="H663" s="74">
        <v>4</v>
      </c>
      <c r="I663" s="83">
        <f t="shared" si="23"/>
        <v>1968</v>
      </c>
      <c r="J663" s="72" t="s">
        <v>232</v>
      </c>
      <c r="K663" s="71">
        <v>42508</v>
      </c>
      <c r="L663" s="99" t="s">
        <v>130</v>
      </c>
      <c r="M663" s="78"/>
    </row>
    <row r="664" spans="1:251" s="79" customFormat="1" ht="17.25" customHeight="1">
      <c r="A664" s="71">
        <v>42382</v>
      </c>
      <c r="B664" s="72"/>
      <c r="C664" s="72" t="s">
        <v>31</v>
      </c>
      <c r="D664" s="100" t="s">
        <v>1114</v>
      </c>
      <c r="E664" s="72" t="s">
        <v>306</v>
      </c>
      <c r="F664" s="72" t="s">
        <v>154</v>
      </c>
      <c r="G664" s="90">
        <v>492</v>
      </c>
      <c r="H664" s="74">
        <v>4</v>
      </c>
      <c r="I664" s="83">
        <f t="shared" si="23"/>
        <v>1968</v>
      </c>
      <c r="J664" s="72" t="s">
        <v>232</v>
      </c>
      <c r="K664" s="71">
        <v>42508</v>
      </c>
      <c r="L664" s="99" t="s">
        <v>130</v>
      </c>
      <c r="M664" s="78"/>
    </row>
    <row r="665" spans="1:251" s="79" customFormat="1" ht="17.25" customHeight="1">
      <c r="A665" s="71">
        <v>42382</v>
      </c>
      <c r="B665" s="72"/>
      <c r="C665" s="72" t="s">
        <v>31</v>
      </c>
      <c r="D665" s="100" t="s">
        <v>1115</v>
      </c>
      <c r="E665" s="72" t="s">
        <v>306</v>
      </c>
      <c r="F665" s="72" t="s">
        <v>154</v>
      </c>
      <c r="G665" s="90">
        <v>65796</v>
      </c>
      <c r="H665" s="74">
        <v>4</v>
      </c>
      <c r="I665" s="83">
        <f t="shared" si="23"/>
        <v>263184</v>
      </c>
      <c r="J665" s="72" t="s">
        <v>232</v>
      </c>
      <c r="K665" s="71">
        <v>42508</v>
      </c>
      <c r="L665" s="99" t="s">
        <v>130</v>
      </c>
      <c r="M665" s="78"/>
    </row>
    <row r="666" spans="1:251" s="79" customFormat="1" ht="17.25" customHeight="1">
      <c r="A666" s="71">
        <v>42382</v>
      </c>
      <c r="B666" s="72"/>
      <c r="C666" s="72" t="s">
        <v>31</v>
      </c>
      <c r="D666" s="100" t="s">
        <v>1116</v>
      </c>
      <c r="E666" s="72" t="s">
        <v>306</v>
      </c>
      <c r="F666" s="72" t="s">
        <v>154</v>
      </c>
      <c r="G666" s="90">
        <v>37872</v>
      </c>
      <c r="H666" s="74">
        <v>4</v>
      </c>
      <c r="I666" s="83">
        <f t="shared" si="23"/>
        <v>151488</v>
      </c>
      <c r="J666" s="72" t="s">
        <v>232</v>
      </c>
      <c r="K666" s="71">
        <v>42508</v>
      </c>
      <c r="L666" s="99" t="s">
        <v>130</v>
      </c>
      <c r="M666" s="78"/>
    </row>
    <row r="667" spans="1:251" s="79" customFormat="1" ht="17.25" customHeight="1">
      <c r="A667" s="71">
        <v>42382</v>
      </c>
      <c r="B667" s="72"/>
      <c r="C667" s="72" t="s">
        <v>31</v>
      </c>
      <c r="D667" s="100" t="s">
        <v>1117</v>
      </c>
      <c r="E667" s="72" t="s">
        <v>306</v>
      </c>
      <c r="F667" s="72" t="s">
        <v>154</v>
      </c>
      <c r="G667" s="90">
        <v>65796</v>
      </c>
      <c r="H667" s="74">
        <v>4</v>
      </c>
      <c r="I667" s="83">
        <f t="shared" si="23"/>
        <v>263184</v>
      </c>
      <c r="J667" s="72" t="s">
        <v>232</v>
      </c>
      <c r="K667" s="71">
        <v>42508</v>
      </c>
      <c r="L667" s="99" t="s">
        <v>130</v>
      </c>
      <c r="M667" s="78"/>
    </row>
    <row r="668" spans="1:251" s="79" customFormat="1" ht="17.25" customHeight="1">
      <c r="A668" s="71">
        <v>42382</v>
      </c>
      <c r="B668" s="72"/>
      <c r="C668" s="72" t="s">
        <v>31</v>
      </c>
      <c r="D668" s="100" t="s">
        <v>1118</v>
      </c>
      <c r="E668" s="72" t="s">
        <v>306</v>
      </c>
      <c r="F668" s="72" t="s">
        <v>154</v>
      </c>
      <c r="G668" s="90">
        <v>37872</v>
      </c>
      <c r="H668" s="74">
        <v>4</v>
      </c>
      <c r="I668" s="83">
        <f t="shared" si="23"/>
        <v>151488</v>
      </c>
      <c r="J668" s="72" t="s">
        <v>232</v>
      </c>
      <c r="K668" s="71">
        <v>42508</v>
      </c>
      <c r="L668" s="99" t="s">
        <v>130</v>
      </c>
      <c r="M668" s="78"/>
    </row>
    <row r="669" spans="1:251" s="79" customFormat="1" ht="17.25" customHeight="1">
      <c r="A669" s="71">
        <v>42387</v>
      </c>
      <c r="B669" s="72"/>
      <c r="C669" s="72" t="s">
        <v>31</v>
      </c>
      <c r="D669" s="100" t="s">
        <v>1119</v>
      </c>
      <c r="E669" s="72" t="s">
        <v>449</v>
      </c>
      <c r="F669" s="72" t="s">
        <v>274</v>
      </c>
      <c r="G669" s="90">
        <v>4800</v>
      </c>
      <c r="H669" s="74">
        <v>3.65</v>
      </c>
      <c r="I669" s="83">
        <f t="shared" si="23"/>
        <v>17520</v>
      </c>
      <c r="J669" s="72" t="s">
        <v>794</v>
      </c>
      <c r="K669" s="71">
        <v>42473</v>
      </c>
      <c r="L669" s="99" t="s">
        <v>130</v>
      </c>
      <c r="M669" s="78"/>
    </row>
    <row r="670" spans="1:251" s="79" customFormat="1" ht="17.25" customHeight="1">
      <c r="A670" s="71">
        <v>42388</v>
      </c>
      <c r="B670" s="72"/>
      <c r="C670" s="72" t="s">
        <v>26</v>
      </c>
      <c r="D670" s="100" t="s">
        <v>1120</v>
      </c>
      <c r="E670" s="72" t="s">
        <v>1121</v>
      </c>
      <c r="F670" s="72" t="s">
        <v>274</v>
      </c>
      <c r="G670" s="90">
        <v>7200</v>
      </c>
      <c r="H670" s="74">
        <v>4</v>
      </c>
      <c r="I670" s="83">
        <f t="shared" si="23"/>
        <v>28800</v>
      </c>
      <c r="J670" s="72" t="s">
        <v>232</v>
      </c>
      <c r="K670" s="71">
        <v>42508</v>
      </c>
      <c r="L670" s="99" t="s">
        <v>130</v>
      </c>
      <c r="M670" s="78"/>
    </row>
    <row r="671" spans="1:251" s="79" customFormat="1" ht="17.25" customHeight="1">
      <c r="A671" s="71">
        <v>42389</v>
      </c>
      <c r="B671" s="72"/>
      <c r="C671" s="72" t="s">
        <v>31</v>
      </c>
      <c r="D671" s="100" t="s">
        <v>1122</v>
      </c>
      <c r="E671" s="72" t="s">
        <v>1123</v>
      </c>
      <c r="F671" s="72" t="s">
        <v>274</v>
      </c>
      <c r="G671" s="90">
        <v>4800</v>
      </c>
      <c r="H671" s="74">
        <v>3.85</v>
      </c>
      <c r="I671" s="83">
        <f t="shared" si="23"/>
        <v>18480</v>
      </c>
      <c r="J671" s="72" t="s">
        <v>232</v>
      </c>
      <c r="K671" s="71">
        <v>42508</v>
      </c>
      <c r="L671" s="99" t="s">
        <v>119</v>
      </c>
      <c r="M671" s="78"/>
    </row>
    <row r="672" spans="1:251" s="79" customFormat="1" ht="17.25" customHeight="1">
      <c r="A672" s="71">
        <v>42394</v>
      </c>
      <c r="B672" s="72"/>
      <c r="C672" s="72" t="s">
        <v>31</v>
      </c>
      <c r="D672" s="100" t="s">
        <v>1124</v>
      </c>
      <c r="E672" s="72" t="s">
        <v>306</v>
      </c>
      <c r="F672" s="72" t="s">
        <v>154</v>
      </c>
      <c r="G672" s="90">
        <v>37872</v>
      </c>
      <c r="H672" s="74">
        <v>4</v>
      </c>
      <c r="I672" s="83">
        <f t="shared" si="23"/>
        <v>151488</v>
      </c>
      <c r="J672" s="72" t="s">
        <v>232</v>
      </c>
      <c r="K672" s="71">
        <v>42508</v>
      </c>
      <c r="L672" s="99" t="s">
        <v>130</v>
      </c>
      <c r="M672" s="121"/>
      <c r="N672" s="121"/>
      <c r="O672" s="121"/>
      <c r="P672" s="121"/>
      <c r="Q672" s="121"/>
      <c r="R672" s="121"/>
      <c r="S672" s="121"/>
      <c r="T672" s="121"/>
      <c r="U672" s="121"/>
      <c r="V672" s="121"/>
      <c r="W672" s="121"/>
      <c r="X672" s="121"/>
      <c r="Y672" s="121"/>
      <c r="Z672" s="121"/>
      <c r="AA672" s="121"/>
      <c r="AB672" s="121"/>
      <c r="AC672" s="121"/>
      <c r="AD672" s="121"/>
      <c r="AE672" s="121"/>
      <c r="AF672" s="121"/>
      <c r="AG672" s="121"/>
      <c r="AH672" s="121"/>
      <c r="AI672" s="121"/>
      <c r="AJ672" s="121"/>
      <c r="AK672" s="121"/>
      <c r="AL672" s="121"/>
      <c r="AM672" s="121"/>
      <c r="AN672" s="121"/>
      <c r="AO672" s="122"/>
      <c r="AP672" s="122"/>
      <c r="AQ672" s="122"/>
      <c r="AR672" s="122"/>
      <c r="AS672" s="122"/>
      <c r="AT672" s="122"/>
      <c r="AU672" s="122"/>
      <c r="AV672" s="122"/>
      <c r="AW672" s="122"/>
      <c r="AX672" s="122"/>
      <c r="AY672" s="122"/>
      <c r="AZ672" s="122"/>
      <c r="BA672" s="122"/>
      <c r="BB672" s="122"/>
      <c r="BC672" s="122"/>
      <c r="BD672" s="122"/>
      <c r="BE672" s="122"/>
      <c r="BF672" s="122"/>
      <c r="BG672" s="122"/>
      <c r="BH672" s="122"/>
      <c r="BI672" s="122"/>
      <c r="BJ672" s="122"/>
      <c r="BK672" s="122"/>
      <c r="BL672" s="122"/>
      <c r="BM672" s="122"/>
      <c r="BN672" s="122"/>
      <c r="BO672" s="122"/>
      <c r="BP672" s="122"/>
      <c r="BQ672" s="122"/>
      <c r="BR672" s="122"/>
      <c r="BS672" s="122"/>
      <c r="BT672" s="122"/>
      <c r="BU672" s="122"/>
      <c r="BV672" s="122"/>
      <c r="BW672" s="122"/>
      <c r="BX672" s="122"/>
      <c r="BY672" s="122"/>
      <c r="BZ672" s="122"/>
      <c r="CA672" s="122"/>
      <c r="CB672" s="122"/>
      <c r="CC672" s="122"/>
      <c r="CD672" s="122"/>
      <c r="CE672" s="122"/>
      <c r="CF672" s="122"/>
      <c r="CG672" s="122"/>
      <c r="CH672" s="122"/>
      <c r="CI672" s="122"/>
      <c r="CJ672" s="122"/>
      <c r="CK672" s="122"/>
      <c r="CL672" s="122"/>
      <c r="CM672" s="122"/>
      <c r="CN672" s="122"/>
      <c r="CO672" s="122"/>
      <c r="CP672" s="122"/>
      <c r="CQ672" s="122"/>
      <c r="CR672" s="122"/>
      <c r="CS672" s="122"/>
      <c r="CT672" s="122"/>
      <c r="CU672" s="122"/>
      <c r="CV672" s="122"/>
      <c r="CW672" s="122"/>
      <c r="CX672" s="122"/>
      <c r="CY672" s="122"/>
      <c r="CZ672" s="122"/>
      <c r="DA672" s="122"/>
      <c r="DB672" s="122"/>
      <c r="DC672" s="122"/>
      <c r="DD672" s="122"/>
      <c r="DE672" s="122"/>
      <c r="DF672" s="122"/>
      <c r="DG672" s="122"/>
      <c r="DH672" s="122"/>
      <c r="DI672" s="122"/>
      <c r="DJ672" s="122"/>
      <c r="DK672" s="122"/>
      <c r="DL672" s="122"/>
      <c r="DM672" s="122"/>
      <c r="DN672" s="122"/>
      <c r="DO672" s="122"/>
      <c r="DP672" s="122"/>
      <c r="DQ672" s="122"/>
      <c r="DR672" s="122"/>
      <c r="DS672" s="122"/>
      <c r="DT672" s="122"/>
      <c r="DU672" s="122"/>
      <c r="DV672" s="122"/>
      <c r="DW672" s="122"/>
      <c r="DX672" s="122"/>
      <c r="DY672" s="122"/>
      <c r="DZ672" s="122"/>
      <c r="EA672" s="122"/>
      <c r="EB672" s="122"/>
      <c r="EC672" s="122"/>
      <c r="ED672" s="122"/>
      <c r="EE672" s="122"/>
      <c r="EF672" s="122"/>
      <c r="EG672" s="122"/>
      <c r="EH672" s="122"/>
      <c r="EI672" s="122"/>
      <c r="EJ672" s="122"/>
      <c r="EK672" s="122"/>
      <c r="EL672" s="122"/>
      <c r="EM672" s="122"/>
      <c r="EN672" s="122"/>
      <c r="EO672" s="122"/>
      <c r="EP672" s="122"/>
      <c r="EQ672" s="122"/>
      <c r="ER672" s="122"/>
      <c r="ES672" s="122"/>
      <c r="ET672" s="122"/>
      <c r="EU672" s="122"/>
      <c r="EV672" s="122"/>
      <c r="EW672" s="122"/>
      <c r="EX672" s="122"/>
      <c r="EY672" s="122"/>
      <c r="EZ672" s="122"/>
      <c r="FA672" s="122"/>
      <c r="FB672" s="122"/>
      <c r="FC672" s="122"/>
      <c r="FD672" s="122"/>
      <c r="FE672" s="122"/>
      <c r="FF672" s="122"/>
      <c r="FG672" s="122"/>
      <c r="FH672" s="122"/>
      <c r="FI672" s="122"/>
      <c r="FJ672" s="122"/>
      <c r="FK672" s="122"/>
      <c r="FL672" s="122"/>
      <c r="FM672" s="122"/>
      <c r="FN672" s="122"/>
      <c r="FO672" s="122"/>
      <c r="FP672" s="122"/>
      <c r="FQ672" s="122"/>
      <c r="FR672" s="122"/>
      <c r="FS672" s="122"/>
      <c r="FT672" s="122"/>
      <c r="FU672" s="122"/>
      <c r="FV672" s="122"/>
      <c r="FW672" s="122"/>
      <c r="FX672" s="122"/>
      <c r="FY672" s="122"/>
      <c r="FZ672" s="122"/>
      <c r="GA672" s="122"/>
      <c r="GB672" s="122"/>
      <c r="GC672" s="122"/>
      <c r="GD672" s="122"/>
      <c r="GE672" s="122"/>
      <c r="GF672" s="122"/>
      <c r="GG672" s="122"/>
      <c r="GH672" s="122"/>
      <c r="GI672" s="122"/>
      <c r="GJ672" s="122"/>
      <c r="GK672" s="122"/>
      <c r="GL672" s="122"/>
      <c r="GM672" s="122"/>
      <c r="GN672" s="122"/>
      <c r="GO672" s="122"/>
      <c r="GP672" s="122"/>
      <c r="GQ672" s="122"/>
      <c r="GR672" s="122"/>
      <c r="GS672" s="122"/>
      <c r="GT672" s="122"/>
      <c r="GU672" s="122"/>
      <c r="GV672" s="122"/>
      <c r="GW672" s="122"/>
      <c r="GX672" s="122"/>
      <c r="GY672" s="122"/>
      <c r="GZ672" s="122"/>
      <c r="HA672" s="122"/>
      <c r="HB672" s="122"/>
      <c r="HC672" s="122"/>
      <c r="HD672" s="122"/>
      <c r="HE672" s="122"/>
      <c r="HF672" s="122"/>
      <c r="HG672" s="122"/>
      <c r="HH672" s="122"/>
      <c r="HI672" s="122"/>
      <c r="HJ672" s="122"/>
      <c r="HK672" s="122"/>
      <c r="HL672" s="122"/>
      <c r="HM672" s="122"/>
      <c r="HN672" s="122"/>
      <c r="HO672" s="122"/>
      <c r="HP672" s="122"/>
      <c r="HQ672" s="122"/>
      <c r="HR672" s="122"/>
      <c r="HS672" s="122"/>
      <c r="HT672" s="122"/>
      <c r="HU672" s="122"/>
      <c r="HV672" s="122"/>
      <c r="HW672" s="122"/>
      <c r="HX672" s="122"/>
      <c r="HY672" s="122"/>
      <c r="HZ672" s="122"/>
      <c r="IA672" s="122"/>
      <c r="IB672" s="122"/>
      <c r="IC672" s="122"/>
      <c r="ID672" s="122"/>
      <c r="IE672" s="122"/>
      <c r="IF672" s="122"/>
      <c r="IG672" s="122"/>
      <c r="IH672" s="122"/>
      <c r="II672" s="122"/>
      <c r="IJ672" s="122"/>
      <c r="IK672" s="122"/>
      <c r="IL672" s="122"/>
      <c r="IM672" s="122"/>
      <c r="IN672" s="122"/>
      <c r="IO672" s="122"/>
      <c r="IP672" s="122"/>
      <c r="IQ672" s="122"/>
    </row>
    <row r="673" spans="1:251" s="79" customFormat="1" ht="17.25" customHeight="1">
      <c r="A673" s="71">
        <v>42394</v>
      </c>
      <c r="B673" s="72"/>
      <c r="C673" s="72" t="s">
        <v>26</v>
      </c>
      <c r="D673" s="100" t="s">
        <v>1125</v>
      </c>
      <c r="E673" s="72" t="s">
        <v>1121</v>
      </c>
      <c r="F673" s="72" t="s">
        <v>274</v>
      </c>
      <c r="G673" s="90">
        <v>6000</v>
      </c>
      <c r="H673" s="74">
        <v>4</v>
      </c>
      <c r="I673" s="83">
        <f t="shared" si="23"/>
        <v>24000</v>
      </c>
      <c r="J673" s="72" t="s">
        <v>232</v>
      </c>
      <c r="K673" s="71">
        <v>42508</v>
      </c>
      <c r="L673" s="99" t="s">
        <v>130</v>
      </c>
      <c r="M673" s="121"/>
      <c r="N673" s="121"/>
      <c r="O673" s="121"/>
      <c r="P673" s="121"/>
      <c r="Q673" s="121"/>
      <c r="R673" s="121"/>
      <c r="S673" s="121"/>
      <c r="T673" s="121"/>
      <c r="U673" s="121"/>
      <c r="V673" s="121"/>
      <c r="W673" s="121"/>
      <c r="X673" s="121"/>
      <c r="Y673" s="121"/>
      <c r="Z673" s="121"/>
      <c r="AA673" s="121"/>
      <c r="AB673" s="121"/>
      <c r="AC673" s="121"/>
      <c r="AD673" s="121"/>
      <c r="AE673" s="121"/>
      <c r="AF673" s="121"/>
      <c r="AG673" s="121"/>
      <c r="AH673" s="121"/>
      <c r="AI673" s="121"/>
      <c r="AJ673" s="121"/>
      <c r="AK673" s="121"/>
      <c r="AL673" s="121"/>
      <c r="AM673" s="121"/>
      <c r="AN673" s="121"/>
      <c r="AO673" s="122"/>
      <c r="AP673" s="122"/>
      <c r="AQ673" s="122"/>
      <c r="AR673" s="122"/>
      <c r="AS673" s="122"/>
      <c r="AT673" s="122"/>
      <c r="AU673" s="122"/>
      <c r="AV673" s="122"/>
      <c r="AW673" s="122"/>
      <c r="AX673" s="122"/>
      <c r="AY673" s="122"/>
      <c r="AZ673" s="122"/>
      <c r="BA673" s="122"/>
      <c r="BB673" s="122"/>
      <c r="BC673" s="122"/>
      <c r="BD673" s="122"/>
      <c r="BE673" s="122"/>
      <c r="BF673" s="122"/>
      <c r="BG673" s="122"/>
      <c r="BH673" s="122"/>
      <c r="BI673" s="122"/>
      <c r="BJ673" s="122"/>
      <c r="BK673" s="122"/>
      <c r="BL673" s="122"/>
      <c r="BM673" s="122"/>
      <c r="BN673" s="122"/>
      <c r="BO673" s="122"/>
      <c r="BP673" s="122"/>
      <c r="BQ673" s="122"/>
      <c r="BR673" s="122"/>
      <c r="BS673" s="122"/>
      <c r="BT673" s="122"/>
      <c r="BU673" s="122"/>
      <c r="BV673" s="122"/>
      <c r="BW673" s="122"/>
      <c r="BX673" s="122"/>
      <c r="BY673" s="122"/>
      <c r="BZ673" s="122"/>
      <c r="CA673" s="122"/>
      <c r="CB673" s="122"/>
      <c r="CC673" s="122"/>
      <c r="CD673" s="122"/>
      <c r="CE673" s="122"/>
      <c r="CF673" s="122"/>
      <c r="CG673" s="122"/>
      <c r="CH673" s="122"/>
      <c r="CI673" s="122"/>
      <c r="CJ673" s="122"/>
      <c r="CK673" s="122"/>
      <c r="CL673" s="122"/>
      <c r="CM673" s="122"/>
      <c r="CN673" s="122"/>
      <c r="CO673" s="122"/>
      <c r="CP673" s="122"/>
      <c r="CQ673" s="122"/>
      <c r="CR673" s="122"/>
      <c r="CS673" s="122"/>
      <c r="CT673" s="122"/>
      <c r="CU673" s="122"/>
      <c r="CV673" s="122"/>
      <c r="CW673" s="122"/>
      <c r="CX673" s="122"/>
      <c r="CY673" s="122"/>
      <c r="CZ673" s="122"/>
      <c r="DA673" s="122"/>
      <c r="DB673" s="122"/>
      <c r="DC673" s="122"/>
      <c r="DD673" s="122"/>
      <c r="DE673" s="122"/>
      <c r="DF673" s="122"/>
      <c r="DG673" s="122"/>
      <c r="DH673" s="122"/>
      <c r="DI673" s="122"/>
      <c r="DJ673" s="122"/>
      <c r="DK673" s="122"/>
      <c r="DL673" s="122"/>
      <c r="DM673" s="122"/>
      <c r="DN673" s="122"/>
      <c r="DO673" s="122"/>
      <c r="DP673" s="122"/>
      <c r="DQ673" s="122"/>
      <c r="DR673" s="122"/>
      <c r="DS673" s="122"/>
      <c r="DT673" s="122"/>
      <c r="DU673" s="122"/>
      <c r="DV673" s="122"/>
      <c r="DW673" s="122"/>
      <c r="DX673" s="122"/>
      <c r="DY673" s="122"/>
      <c r="DZ673" s="122"/>
      <c r="EA673" s="122"/>
      <c r="EB673" s="122"/>
      <c r="EC673" s="122"/>
      <c r="ED673" s="122"/>
      <c r="EE673" s="122"/>
      <c r="EF673" s="122"/>
      <c r="EG673" s="122"/>
      <c r="EH673" s="122"/>
      <c r="EI673" s="122"/>
      <c r="EJ673" s="122"/>
      <c r="EK673" s="122"/>
      <c r="EL673" s="122"/>
      <c r="EM673" s="122"/>
      <c r="EN673" s="122"/>
      <c r="EO673" s="122"/>
      <c r="EP673" s="122"/>
      <c r="EQ673" s="122"/>
      <c r="ER673" s="122"/>
      <c r="ES673" s="122"/>
      <c r="ET673" s="122"/>
      <c r="EU673" s="122"/>
      <c r="EV673" s="122"/>
      <c r="EW673" s="122"/>
      <c r="EX673" s="122"/>
      <c r="EY673" s="122"/>
      <c r="EZ673" s="122"/>
      <c r="FA673" s="122"/>
      <c r="FB673" s="122"/>
      <c r="FC673" s="122"/>
      <c r="FD673" s="122"/>
      <c r="FE673" s="122"/>
      <c r="FF673" s="122"/>
      <c r="FG673" s="122"/>
      <c r="FH673" s="122"/>
      <c r="FI673" s="122"/>
      <c r="FJ673" s="122"/>
      <c r="FK673" s="122"/>
      <c r="FL673" s="122"/>
      <c r="FM673" s="122"/>
      <c r="FN673" s="122"/>
      <c r="FO673" s="122"/>
      <c r="FP673" s="122"/>
      <c r="FQ673" s="122"/>
      <c r="FR673" s="122"/>
      <c r="FS673" s="122"/>
      <c r="FT673" s="122"/>
      <c r="FU673" s="122"/>
      <c r="FV673" s="122"/>
      <c r="FW673" s="122"/>
      <c r="FX673" s="122"/>
      <c r="FY673" s="122"/>
      <c r="FZ673" s="122"/>
      <c r="GA673" s="122"/>
      <c r="GB673" s="122"/>
      <c r="GC673" s="122"/>
      <c r="GD673" s="122"/>
      <c r="GE673" s="122"/>
      <c r="GF673" s="122"/>
      <c r="GG673" s="122"/>
      <c r="GH673" s="122"/>
      <c r="GI673" s="122"/>
      <c r="GJ673" s="122"/>
      <c r="GK673" s="122"/>
      <c r="GL673" s="122"/>
      <c r="GM673" s="122"/>
      <c r="GN673" s="122"/>
      <c r="GO673" s="122"/>
      <c r="GP673" s="122"/>
      <c r="GQ673" s="122"/>
      <c r="GR673" s="122"/>
      <c r="GS673" s="122"/>
      <c r="GT673" s="122"/>
      <c r="GU673" s="122"/>
      <c r="GV673" s="122"/>
      <c r="GW673" s="122"/>
      <c r="GX673" s="122"/>
      <c r="GY673" s="122"/>
      <c r="GZ673" s="122"/>
      <c r="HA673" s="122"/>
      <c r="HB673" s="122"/>
      <c r="HC673" s="122"/>
      <c r="HD673" s="122"/>
      <c r="HE673" s="122"/>
      <c r="HF673" s="122"/>
      <c r="HG673" s="122"/>
      <c r="HH673" s="122"/>
      <c r="HI673" s="122"/>
      <c r="HJ673" s="122"/>
      <c r="HK673" s="122"/>
      <c r="HL673" s="122"/>
      <c r="HM673" s="122"/>
      <c r="HN673" s="122"/>
      <c r="HO673" s="122"/>
      <c r="HP673" s="122"/>
      <c r="HQ673" s="122"/>
      <c r="HR673" s="122"/>
      <c r="HS673" s="122"/>
      <c r="HT673" s="122"/>
      <c r="HU673" s="122"/>
      <c r="HV673" s="122"/>
      <c r="HW673" s="122"/>
      <c r="HX673" s="122"/>
      <c r="HY673" s="122"/>
      <c r="HZ673" s="122"/>
      <c r="IA673" s="122"/>
      <c r="IB673" s="122"/>
      <c r="IC673" s="122"/>
      <c r="ID673" s="122"/>
      <c r="IE673" s="122"/>
      <c r="IF673" s="122"/>
      <c r="IG673" s="122"/>
      <c r="IH673" s="122"/>
      <c r="II673" s="122"/>
      <c r="IJ673" s="122"/>
      <c r="IK673" s="122"/>
      <c r="IL673" s="122"/>
      <c r="IM673" s="122"/>
      <c r="IN673" s="122"/>
      <c r="IO673" s="122"/>
      <c r="IP673" s="122"/>
      <c r="IQ673" s="122"/>
    </row>
    <row r="674" spans="1:251" s="79" customFormat="1" ht="17.25" customHeight="1">
      <c r="A674" s="71">
        <v>42397</v>
      </c>
      <c r="B674" s="72"/>
      <c r="C674" s="72" t="s">
        <v>26</v>
      </c>
      <c r="D674" s="100" t="s">
        <v>1126</v>
      </c>
      <c r="E674" s="72" t="s">
        <v>1121</v>
      </c>
      <c r="F674" s="72" t="s">
        <v>182</v>
      </c>
      <c r="G674" s="90">
        <v>1656</v>
      </c>
      <c r="H674" s="74">
        <v>4</v>
      </c>
      <c r="I674" s="83">
        <f t="shared" si="23"/>
        <v>6624</v>
      </c>
      <c r="J674" s="72" t="s">
        <v>232</v>
      </c>
      <c r="K674" s="71">
        <v>42508</v>
      </c>
      <c r="L674" s="99" t="s">
        <v>130</v>
      </c>
      <c r="M674" s="78"/>
    </row>
    <row r="675" spans="1:251" s="79" customFormat="1" ht="17.25" customHeight="1">
      <c r="A675" s="71">
        <v>42404</v>
      </c>
      <c r="B675" s="72"/>
      <c r="C675" s="72" t="s">
        <v>26</v>
      </c>
      <c r="D675" s="100" t="s">
        <v>1127</v>
      </c>
      <c r="E675" s="72" t="s">
        <v>1128</v>
      </c>
      <c r="F675" s="72" t="s">
        <v>128</v>
      </c>
      <c r="G675" s="91">
        <v>17811</v>
      </c>
      <c r="H675" s="74">
        <v>4.1500000000000004</v>
      </c>
      <c r="I675" s="83">
        <f t="shared" si="23"/>
        <v>73915.650000000009</v>
      </c>
      <c r="J675" s="72" t="s">
        <v>286</v>
      </c>
      <c r="K675" s="71">
        <v>42522</v>
      </c>
      <c r="L675" s="99" t="s">
        <v>130</v>
      </c>
      <c r="M675" s="78"/>
    </row>
    <row r="676" spans="1:251" s="79" customFormat="1" ht="17.25" customHeight="1">
      <c r="A676" s="71">
        <v>42404</v>
      </c>
      <c r="B676" s="72"/>
      <c r="C676" s="72" t="s">
        <v>26</v>
      </c>
      <c r="D676" s="100" t="s">
        <v>1129</v>
      </c>
      <c r="E676" s="72" t="s">
        <v>1128</v>
      </c>
      <c r="F676" s="72" t="s">
        <v>128</v>
      </c>
      <c r="G676" s="90">
        <v>950</v>
      </c>
      <c r="H676" s="74">
        <v>4.1500000000000004</v>
      </c>
      <c r="I676" s="83">
        <f t="shared" si="23"/>
        <v>3942.5000000000005</v>
      </c>
      <c r="J676" s="72" t="s">
        <v>286</v>
      </c>
      <c r="K676" s="71">
        <v>42522</v>
      </c>
      <c r="L676" s="99" t="s">
        <v>130</v>
      </c>
      <c r="M676" s="78"/>
    </row>
    <row r="677" spans="1:251" s="79" customFormat="1" ht="17.25" customHeight="1">
      <c r="A677" s="71">
        <v>42404</v>
      </c>
      <c r="B677" s="72"/>
      <c r="C677" s="72" t="s">
        <v>26</v>
      </c>
      <c r="D677" s="100" t="s">
        <v>1130</v>
      </c>
      <c r="E677" s="72" t="s">
        <v>1128</v>
      </c>
      <c r="F677" s="72" t="s">
        <v>1131</v>
      </c>
      <c r="G677" s="90">
        <v>648</v>
      </c>
      <c r="H677" s="74">
        <v>3.9</v>
      </c>
      <c r="I677" s="83">
        <f t="shared" si="23"/>
        <v>2527.1999999999998</v>
      </c>
      <c r="J677" s="72" t="s">
        <v>286</v>
      </c>
      <c r="K677" s="71">
        <v>42520</v>
      </c>
      <c r="L677" s="99" t="s">
        <v>130</v>
      </c>
      <c r="M677" s="78"/>
    </row>
    <row r="678" spans="1:251" s="79" customFormat="1" ht="17.25" customHeight="1">
      <c r="A678" s="71">
        <v>42404</v>
      </c>
      <c r="B678" s="72"/>
      <c r="C678" s="72" t="s">
        <v>26</v>
      </c>
      <c r="D678" s="100" t="s">
        <v>1132</v>
      </c>
      <c r="E678" s="72" t="s">
        <v>1128</v>
      </c>
      <c r="F678" s="72" t="s">
        <v>128</v>
      </c>
      <c r="G678" s="90">
        <v>23</v>
      </c>
      <c r="H678" s="74">
        <v>4.1500000000000004</v>
      </c>
      <c r="I678" s="83">
        <f t="shared" si="23"/>
        <v>95.45</v>
      </c>
      <c r="J678" s="72" t="s">
        <v>328</v>
      </c>
      <c r="K678" s="71">
        <v>42480</v>
      </c>
      <c r="L678" s="99" t="s">
        <v>130</v>
      </c>
      <c r="M678" s="78"/>
    </row>
    <row r="679" spans="1:251" s="79" customFormat="1" ht="17.25" customHeight="1">
      <c r="A679" s="71">
        <v>42430</v>
      </c>
      <c r="B679" s="72"/>
      <c r="C679" s="72" t="s">
        <v>30</v>
      </c>
      <c r="D679" s="72">
        <v>6000393</v>
      </c>
      <c r="E679" s="72" t="s">
        <v>1133</v>
      </c>
      <c r="F679" s="72"/>
      <c r="G679" s="73">
        <v>600</v>
      </c>
      <c r="H679" s="74">
        <v>8.3000000000000007</v>
      </c>
      <c r="I679" s="83">
        <f t="shared" si="23"/>
        <v>4980</v>
      </c>
      <c r="J679" s="72" t="s">
        <v>261</v>
      </c>
      <c r="K679" s="71">
        <v>42529</v>
      </c>
      <c r="L679" s="99" t="s">
        <v>119</v>
      </c>
      <c r="M679" s="78"/>
    </row>
    <row r="680" spans="1:251" s="79" customFormat="1" ht="17.25" customHeight="1">
      <c r="A680" s="71">
        <v>42431</v>
      </c>
      <c r="B680" s="72"/>
      <c r="C680" s="72" t="s">
        <v>30</v>
      </c>
      <c r="D680" s="72" t="s">
        <v>1134</v>
      </c>
      <c r="E680" s="72" t="s">
        <v>1135</v>
      </c>
      <c r="F680" s="72"/>
      <c r="G680" s="73">
        <v>4950</v>
      </c>
      <c r="H680" s="74">
        <v>5.3</v>
      </c>
      <c r="I680" s="83">
        <f t="shared" si="23"/>
        <v>26235</v>
      </c>
      <c r="J680" s="72" t="s">
        <v>158</v>
      </c>
      <c r="K680" s="72" t="s">
        <v>1136</v>
      </c>
      <c r="L680" s="99" t="s">
        <v>130</v>
      </c>
      <c r="M680" s="78"/>
    </row>
    <row r="681" spans="1:251" s="79" customFormat="1" ht="17.25" customHeight="1">
      <c r="A681" s="71">
        <v>42431</v>
      </c>
      <c r="B681" s="72"/>
      <c r="C681" s="72" t="s">
        <v>30</v>
      </c>
      <c r="D681" s="72" t="s">
        <v>1137</v>
      </c>
      <c r="E681" s="72" t="s">
        <v>1138</v>
      </c>
      <c r="F681" s="72"/>
      <c r="G681" s="73">
        <v>1680</v>
      </c>
      <c r="H681" s="74">
        <v>6.05</v>
      </c>
      <c r="I681" s="83">
        <f t="shared" si="23"/>
        <v>10164</v>
      </c>
      <c r="J681" s="72" t="s">
        <v>158</v>
      </c>
      <c r="K681" s="72" t="s">
        <v>1136</v>
      </c>
      <c r="L681" s="99" t="s">
        <v>130</v>
      </c>
      <c r="M681" s="78"/>
    </row>
  </sheetData>
  <mergeCells count="1">
    <mergeCell ref="A1:L1"/>
  </mergeCells>
  <phoneticPr fontId="37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未出货订单类别统计表</vt:lpstr>
      <vt:lpstr>业务员统计</vt:lpstr>
      <vt:lpstr>各工厂现有订单统计</vt:lpstr>
      <vt:lpstr>2016工厂现有订单明细 </vt:lpstr>
    </vt:vector>
  </TitlesOfParts>
  <Company>NO WIND STUDIO</Company>
  <LinksUpToDate>false</LinksUpToDate>
  <CharactersWithSpaces>0</CharactersWithSpaces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SALES68</cp:lastModifiedBy>
  <cp:revision/>
  <cp:lastPrinted>2015-12-21T04:44:37Z</cp:lastPrinted>
  <dcterms:created xsi:type="dcterms:W3CDTF">2007-03-08T03:35:17Z</dcterms:created>
  <dcterms:modified xsi:type="dcterms:W3CDTF">2016-03-16T03:14:25Z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2052-8.1.0.3238</vt:lpwstr>
  </property>
</Properties>
</file>